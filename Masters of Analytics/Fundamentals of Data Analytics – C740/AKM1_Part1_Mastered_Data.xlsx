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dre\Desktop\Extras\WGU\Masters\Data Analytics Fundamentals\"/>
    </mc:Choice>
  </mc:AlternateContent>
  <xr:revisionPtr revIDLastSave="0" documentId="13_ncr:1_{5880E9B8-0965-4642-9414-B0BF503BA21E}" xr6:coauthVersionLast="45" xr6:coauthVersionMax="45" xr10:uidLastSave="{00000000-0000-0000-0000-000000000000}"/>
  <bookViews>
    <workbookView xWindow="-120" yWindow="-120" windowWidth="29040" windowHeight="15840" tabRatio="686" xr2:uid="{00000000-000D-0000-FFFF-FFFF00000000}"/>
  </bookViews>
  <sheets>
    <sheet name="Part_A_Police_DepartMastered" sheetId="1" r:id="rId1"/>
    <sheet name="Part_C_NumberByDate" sheetId="2" r:id="rId2"/>
    <sheet name="Part_C_NumberByEventType" sheetId="3" r:id="rId3"/>
    <sheet name="Part_C_NumberBySector" sheetId="5" r:id="rId4"/>
    <sheet name="RegressionAnalysis" sheetId="6" r:id="rId5"/>
    <sheet name="OriginalRegression" sheetId="7" r:id="rId6"/>
  </sheets>
  <definedNames>
    <definedName name="_xlnm._FilterDatabase" localSheetId="0" hidden="1">Part_A_Police_DepartMastered!$A$1:$K$1046</definedName>
  </definedNames>
  <calcPr calcId="181029"/>
  <pivotCaches>
    <pivotCache cacheId="0" r:id="rId7"/>
    <pivotCache cacheId="1" r:id="rId8"/>
    <pivotCache cacheId="2" r:id="rId9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5" i="6" l="1"/>
  <c r="B105" i="6"/>
  <c r="B106" i="6" s="1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88" i="6"/>
  <c r="D105" i="6" l="1"/>
  <c r="C106" i="6"/>
  <c r="D106" i="6" s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2" i="1"/>
</calcChain>
</file>

<file path=xl/sharedStrings.xml><?xml version="1.0" encoding="utf-8"?>
<sst xmlns="http://schemas.openxmlformats.org/spreadsheetml/2006/main" count="4399" uniqueCount="1038">
  <si>
    <t>CAD CDW ID</t>
  </si>
  <si>
    <t>Event Clearance Code</t>
  </si>
  <si>
    <t>Event Clearance Description</t>
  </si>
  <si>
    <t>Event Clearance Date</t>
  </si>
  <si>
    <t>District/Sector</t>
  </si>
  <si>
    <t>Zone/Beat</t>
  </si>
  <si>
    <t>Longitude</t>
  </si>
  <si>
    <t>Latitude</t>
  </si>
  <si>
    <t>Incident Location</t>
  </si>
  <si>
    <t>OFFICERS_AT_SCENE</t>
  </si>
  <si>
    <t>FIGHT DISTURBANCE</t>
  </si>
  <si>
    <t>R</t>
  </si>
  <si>
    <t>R3</t>
  </si>
  <si>
    <t>(47.561256, -122.284904)</t>
  </si>
  <si>
    <t>PARKING VIOLATION (EXCEPT ABANDONED VEHICLES)</t>
  </si>
  <si>
    <t>G</t>
  </si>
  <si>
    <t>G2</t>
  </si>
  <si>
    <t>(47.604195, -122.29493)</t>
  </si>
  <si>
    <t>TRAFFIC (MOVING) VIOLATION</t>
  </si>
  <si>
    <t>O</t>
  </si>
  <si>
    <t>O1</t>
  </si>
  <si>
    <t>(47.57158, -122.33524)</t>
  </si>
  <si>
    <t>SUSPICIOUS PERSON</t>
  </si>
  <si>
    <t>Q</t>
  </si>
  <si>
    <t>Q1</t>
  </si>
  <si>
    <t>(47.640358, -122.40237)</t>
  </si>
  <si>
    <t>SUSPICIOUS VEHICLE</t>
  </si>
  <si>
    <t>(47.60432, -122.30109)</t>
  </si>
  <si>
    <t>LIQUOR VIOLATION - ADULT</t>
  </si>
  <si>
    <t>S</t>
  </si>
  <si>
    <t>S3</t>
  </si>
  <si>
    <t>(47.51985, -122.26803)</t>
  </si>
  <si>
    <t>DISTURBANCE, OTHER</t>
  </si>
  <si>
    <t>R2</t>
  </si>
  <si>
    <t>(47.579674, -122.29916)</t>
  </si>
  <si>
    <t>TRESPASS</t>
  </si>
  <si>
    <t>ALACAD - RESIDENTIAL BURGLARY (FALSE)</t>
  </si>
  <si>
    <t>(47.506386, -122.25063)</t>
  </si>
  <si>
    <t>(47.579807, -122.329056)</t>
  </si>
  <si>
    <t>THEFT - MISCELLANEOUS</t>
  </si>
  <si>
    <t>C</t>
  </si>
  <si>
    <t>C1</t>
  </si>
  <si>
    <t>(47.627274, -122.31459)</t>
  </si>
  <si>
    <t>K</t>
  </si>
  <si>
    <t>K3</t>
  </si>
  <si>
    <t>(47.600464, -122.33081)</t>
  </si>
  <si>
    <t>(47.55191, -122.27538)</t>
  </si>
  <si>
    <t>E</t>
  </si>
  <si>
    <t>E2</t>
  </si>
  <si>
    <t>(47.614105, -122.31683)</t>
  </si>
  <si>
    <t>O2</t>
  </si>
  <si>
    <t>(47.555634, -122.32896)</t>
  </si>
  <si>
    <t>J</t>
  </si>
  <si>
    <t>J3</t>
  </si>
  <si>
    <t>(47.689835, -122.3553)</t>
  </si>
  <si>
    <t>S2</t>
  </si>
  <si>
    <t>(47.542492, -122.26991)</t>
  </si>
  <si>
    <t>BURGLARY - COMMERCIAL</t>
  </si>
  <si>
    <t>(47.56078, -122.29204)</t>
  </si>
  <si>
    <t>MISCHIEF, NUISANCE COMPLAINTS</t>
  </si>
  <si>
    <t>(47.55191, -122.27476)</t>
  </si>
  <si>
    <t>LIQUOR VIOLATION - INTOXICATED PERSON</t>
  </si>
  <si>
    <t>(47.579807, -122.32999)</t>
  </si>
  <si>
    <t>MISSING PERSON</t>
  </si>
  <si>
    <t>W</t>
  </si>
  <si>
    <t>W2</t>
  </si>
  <si>
    <t>(47.54945, -122.391174)</t>
  </si>
  <si>
    <t>M</t>
  </si>
  <si>
    <t>M2</t>
  </si>
  <si>
    <t>(47.612072, -122.332245)</t>
  </si>
  <si>
    <t>MOTOR VEHICLE COLLISION</t>
  </si>
  <si>
    <t>H</t>
  </si>
  <si>
    <t>H3</t>
  </si>
  <si>
    <t>(47.561085, -122.36287)</t>
  </si>
  <si>
    <t>(47.684746, -122.3553)</t>
  </si>
  <si>
    <t>(47.586205, -122.321396)</t>
  </si>
  <si>
    <t>HAZARDS</t>
  </si>
  <si>
    <t>NARCOTICS, DRUG TRAFFIC LOITERING</t>
  </si>
  <si>
    <t>B</t>
  </si>
  <si>
    <t>B1</t>
  </si>
  <si>
    <t>(47.67382, -122.37888)</t>
  </si>
  <si>
    <t>D</t>
  </si>
  <si>
    <t>D2</t>
  </si>
  <si>
    <t>(47.618546, -122.34137)</t>
  </si>
  <si>
    <t>PROPERTY - FOUND (FOLLOW UP TO SPD CASE)</t>
  </si>
  <si>
    <t>B3</t>
  </si>
  <si>
    <t>(47.65612, -122.32904)</t>
  </si>
  <si>
    <t>THEFT - CAR PROWL</t>
  </si>
  <si>
    <t>Q3</t>
  </si>
  <si>
    <t>(47.62822, -122.35796)</t>
  </si>
  <si>
    <t>E1</t>
  </si>
  <si>
    <t>(47.619904, -122.32088)</t>
  </si>
  <si>
    <t>G1</t>
  </si>
  <si>
    <t>(47.599186, -122.31843)</t>
  </si>
  <si>
    <t>LICENSE PLATE THEFT OR LOSS</t>
  </si>
  <si>
    <t>U</t>
  </si>
  <si>
    <t>U3</t>
  </si>
  <si>
    <t>(47.674885, -122.29026)</t>
  </si>
  <si>
    <t>U2</t>
  </si>
  <si>
    <t>(47.663116, -122.31742)</t>
  </si>
  <si>
    <t>M1</t>
  </si>
  <si>
    <t>(47.606407, -122.34087)</t>
  </si>
  <si>
    <t>K1</t>
  </si>
  <si>
    <t>(47.601723, -122.33404)</t>
  </si>
  <si>
    <t>F</t>
  </si>
  <si>
    <t>F3</t>
  </si>
  <si>
    <t>(47.534718, -122.33491)</t>
  </si>
  <si>
    <t>(47.61417, -122.33794)</t>
  </si>
  <si>
    <t>HARBOR - DEBRIS, NAVIGATIONAL HAZARDS</t>
  </si>
  <si>
    <t>(47.648296, -122.3325)</t>
  </si>
  <si>
    <t>H2</t>
  </si>
  <si>
    <t>(47.731678, -122.34777)</t>
  </si>
  <si>
    <t>(47.614094, -122.31814)</t>
  </si>
  <si>
    <t>B2</t>
  </si>
  <si>
    <t>(47.67457, -122.35436)</t>
  </si>
  <si>
    <t>C2</t>
  </si>
  <si>
    <t>(47.622295, -122.3047)</t>
  </si>
  <si>
    <t>BURGLARY - RESIDENTIAL, OCCUPIED</t>
  </si>
  <si>
    <t>(47.60172, -122.33112)</t>
  </si>
  <si>
    <t>ASSAULTS, OTHER</t>
  </si>
  <si>
    <t>J1</t>
  </si>
  <si>
    <t>(47.69061, -122.35799)</t>
  </si>
  <si>
    <t>FRAUD (INCLUDING IDENTITY THEFT)</t>
  </si>
  <si>
    <t>(47.675625, -122.366035)</t>
  </si>
  <si>
    <t>(47.674934, -122.26142)</t>
  </si>
  <si>
    <t>(47.662, -122.33135)</t>
  </si>
  <si>
    <t>H1</t>
  </si>
  <si>
    <t>(47.598354, -122.327675)</t>
  </si>
  <si>
    <t>(47.612423, -122.33797)</t>
  </si>
  <si>
    <t>(47.62256, -122.320915)</t>
  </si>
  <si>
    <t>L</t>
  </si>
  <si>
    <t>L3</t>
  </si>
  <si>
    <t>(47.72101, -122.292496)</t>
  </si>
  <si>
    <t>(47.51715, -122.27003)</t>
  </si>
  <si>
    <t>HARASSMENT, THREATS</t>
  </si>
  <si>
    <t>D1</t>
  </si>
  <si>
    <t>(47.611404, -122.34564)</t>
  </si>
  <si>
    <t>(47.619934, -122.31693)</t>
  </si>
  <si>
    <t>(47.526016, -122.31492)</t>
  </si>
  <si>
    <t>(47.520145, -122.26972)</t>
  </si>
  <si>
    <t>ABANDONED VEHICLE</t>
  </si>
  <si>
    <t>(47.506573, -122.264786)</t>
  </si>
  <si>
    <t>AUTO THEFT</t>
  </si>
  <si>
    <t>(47.650112, -122.352905)</t>
  </si>
  <si>
    <t>(47.678555, -122.326836)</t>
  </si>
  <si>
    <t>N</t>
  </si>
  <si>
    <t>N3</t>
  </si>
  <si>
    <t>(47.708656, -122.33266)</t>
  </si>
  <si>
    <t>(47.599186, -122.31722)</t>
  </si>
  <si>
    <t>NARCOTICS, OTHER</t>
  </si>
  <si>
    <t>(47.61936, -122.31561)</t>
  </si>
  <si>
    <t>C3</t>
  </si>
  <si>
    <t>(47.612225, -122.31148)</t>
  </si>
  <si>
    <t>BURGLARY - UNOCCUPIED STRUCTURE ON RESIDENTIAL PROPERTY</t>
  </si>
  <si>
    <t>D3</t>
  </si>
  <si>
    <t>(47.645058, -122.32588)</t>
  </si>
  <si>
    <t>S1</t>
  </si>
  <si>
    <t>(47.549896, -122.29542)</t>
  </si>
  <si>
    <t>SHOPLIFT</t>
  </si>
  <si>
    <t>(47.618244, -122.33844)</t>
  </si>
  <si>
    <t>(47.65343, -122.34859)</t>
  </si>
  <si>
    <t>ALACAD - RESIDENTIAL PANIC (FALSE)</t>
  </si>
  <si>
    <t>(47.670906, -122.38055)</t>
  </si>
  <si>
    <t>(47.645554, -122.30461)</t>
  </si>
  <si>
    <t>(47.617405, -122.32654)</t>
  </si>
  <si>
    <t>(47.612263, -122.30142)</t>
  </si>
  <si>
    <t>(47.694214, -122.35397)</t>
  </si>
  <si>
    <t>(47.66982, -122.38474)</t>
  </si>
  <si>
    <t>(47.608494, -122.3408)</t>
  </si>
  <si>
    <t>PERSON WITH A WEAPON (NOT GUN)</t>
  </si>
  <si>
    <t>(47.613518, -122.32077)</t>
  </si>
  <si>
    <t>(47.615704, -122.308846)</t>
  </si>
  <si>
    <t>(47.681458, -122.28507)</t>
  </si>
  <si>
    <t>CRISIS COMPLAINT - GENERAL</t>
  </si>
  <si>
    <t>(47.619038, -122.32785)</t>
  </si>
  <si>
    <t>(47.669952, -122.258095)</t>
  </si>
  <si>
    <t>(47.662197, -122.37077)</t>
  </si>
  <si>
    <t>E3</t>
  </si>
  <si>
    <t>(47.609604, -122.32922)</t>
  </si>
  <si>
    <t>(47.611732, -122.34176)</t>
  </si>
  <si>
    <t>(47.601074, -122.33139)</t>
  </si>
  <si>
    <t>F2</t>
  </si>
  <si>
    <t>(47.521023, -122.36522)</t>
  </si>
  <si>
    <t>(47.64381, -122.320854)</t>
  </si>
  <si>
    <t>F1</t>
  </si>
  <si>
    <t>(47.54497, -122.36165)</t>
  </si>
  <si>
    <t>(47.61289, -122.316734)</t>
  </si>
  <si>
    <t>ALACAD - COMMERCIAL BURGLARY (FALSE)</t>
  </si>
  <si>
    <t>(47.5992, -122.31568)</t>
  </si>
  <si>
    <t>Q2</t>
  </si>
  <si>
    <t>(47.635956, -122.35696)</t>
  </si>
  <si>
    <t>(47.653404, -122.32738)</t>
  </si>
  <si>
    <t>(47.5616, -122.33679)</t>
  </si>
  <si>
    <t>M3</t>
  </si>
  <si>
    <t>(47.610676, -122.33558)</t>
  </si>
  <si>
    <t>(47.539825, -122.28079)</t>
  </si>
  <si>
    <t>(47.611206, -122.33759)</t>
  </si>
  <si>
    <t>GANG GRAFFITI</t>
  </si>
  <si>
    <t>(47.705097, -122.357445)</t>
  </si>
  <si>
    <t>(47.615883, -122.33294)</t>
  </si>
  <si>
    <t>(47.618237, -122.329155)</t>
  </si>
  <si>
    <t>(47.658943, -122.36399)</t>
  </si>
  <si>
    <t>(47.705048, -122.344696)</t>
  </si>
  <si>
    <t>(47.607265, -122.33245)</t>
  </si>
  <si>
    <t>(47.730114, -122.29231)</t>
  </si>
  <si>
    <t>(47.613697, -122.32836)</t>
  </si>
  <si>
    <t>(47.67472, -122.264465)</t>
  </si>
  <si>
    <t>ANIMAL NOISE, STRAYS, BITES</t>
  </si>
  <si>
    <t>(47.554726, -122.38156)</t>
  </si>
  <si>
    <t>(47.67596, -122.38589)</t>
  </si>
  <si>
    <t>(47.60829, -122.338)</t>
  </si>
  <si>
    <t>BURGLARY - RESIDENTIAL, UNOCCUPIED</t>
  </si>
  <si>
    <t>(47.684128, -122.37893)</t>
  </si>
  <si>
    <t>(47.609783, -122.339355)</t>
  </si>
  <si>
    <t>(47.684402, -122.34449)</t>
  </si>
  <si>
    <t>W1</t>
  </si>
  <si>
    <t>(47.56653, -122.36811)</t>
  </si>
  <si>
    <t>(47.64088, -122.32589)</t>
  </si>
  <si>
    <t>K2</t>
  </si>
  <si>
    <t>(47.593838, -122.33327)</t>
  </si>
  <si>
    <t>(47.61171, -122.33144)</t>
  </si>
  <si>
    <t>(47.539787, -122.2826)</t>
  </si>
  <si>
    <t>(47.637775, -122.35693)</t>
  </si>
  <si>
    <t>(47.61132, -122.33732)</t>
  </si>
  <si>
    <t>(47.67183, -122.35536)</t>
  </si>
  <si>
    <t>(47.57076, -122.29101)</t>
  </si>
  <si>
    <t>(47.601654, -122.29677)</t>
  </si>
  <si>
    <t>(47.599194, -122.32767)</t>
  </si>
  <si>
    <t>BLOCKING VEHICLE</t>
  </si>
  <si>
    <t>(47.612534, -122.33113)</t>
  </si>
  <si>
    <t>(47.528423, -122.26851)</t>
  </si>
  <si>
    <t>(47.60816, -122.3256)</t>
  </si>
  <si>
    <t>J2</t>
  </si>
  <si>
    <t>(47.685966, -122.37679)</t>
  </si>
  <si>
    <t>(47.582996, -122.38714)</t>
  </si>
  <si>
    <t>(47.679905, -122.40487)</t>
  </si>
  <si>
    <t>(47.609814, -122.34288)</t>
  </si>
  <si>
    <t>(47.6031, -122.31678)</t>
  </si>
  <si>
    <t>(47.598347, -122.32376)</t>
  </si>
  <si>
    <t>(47.670914, -122.38759)</t>
  </si>
  <si>
    <t>MISDEMEANOR WARRANT SERVICE</t>
  </si>
  <si>
    <t>(47.701454, -122.35407)</t>
  </si>
  <si>
    <t>(47.5584, -122.38554)</t>
  </si>
  <si>
    <t>(47.636337, -122.37614)</t>
  </si>
  <si>
    <t>(47.57158, -122.291)</t>
  </si>
  <si>
    <t>R1</t>
  </si>
  <si>
    <t>(47.587032, -122.308304)</t>
  </si>
  <si>
    <t>(47.589878, -122.29241)</t>
  </si>
  <si>
    <t>PROPERTY DESTRUCTION</t>
  </si>
  <si>
    <t>(47.582935, -122.3342)</t>
  </si>
  <si>
    <t>(47.591312, -122.38238)</t>
  </si>
  <si>
    <t>(47.680744, -122.26365)</t>
  </si>
  <si>
    <t>(47.558105, -122.295654)</t>
  </si>
  <si>
    <t>PARKS EXCLUSION</t>
  </si>
  <si>
    <t>(47.590767, -122.31484)</t>
  </si>
  <si>
    <t>(47.638382, -122.35625)</t>
  </si>
  <si>
    <t>(47.701794, -122.34466)</t>
  </si>
  <si>
    <t>(47.61237, -122.334816)</t>
  </si>
  <si>
    <t>(47.606903, -122.34134)</t>
  </si>
  <si>
    <t>(47.603516, -122.33669)</t>
  </si>
  <si>
    <t>(47.602657, -122.3364)</t>
  </si>
  <si>
    <t>(47.662205, -122.376335)</t>
  </si>
  <si>
    <t>(47.634743, -122.356285)</t>
  </si>
  <si>
    <t>(47.595837, -122.327034)</t>
  </si>
  <si>
    <t>(47.69512, -122.35535)</t>
  </si>
  <si>
    <t>(47.681175, -122.32515)</t>
  </si>
  <si>
    <t>DRIVING WHILE UNDER INFLUENCE (DUI)</t>
  </si>
  <si>
    <t>(47.551094, -122.26053)</t>
  </si>
  <si>
    <t>(47.611904, -122.32135)</t>
  </si>
  <si>
    <t>(47.546055, -122.28564)</t>
  </si>
  <si>
    <t>(47.559605, -122.30466)</t>
  </si>
  <si>
    <t>(47.561104, -122.38146)</t>
  </si>
  <si>
    <t>L1</t>
  </si>
  <si>
    <t>(47.733757, -122.29312)</t>
  </si>
  <si>
    <t>(47.6126, -122.33426)</t>
  </si>
  <si>
    <t>(47.617023, -122.34574)</t>
  </si>
  <si>
    <t>(47.611607, -122.33335)</t>
  </si>
  <si>
    <t>(47.60534, -122.32763)</t>
  </si>
  <si>
    <t>(47.614777, -122.33897)</t>
  </si>
  <si>
    <t>(47.56025, -122.3609)</t>
  </si>
  <si>
    <t>(47.57039, -122.29197)</t>
  </si>
  <si>
    <t>(47.609695, -122.32546)</t>
  </si>
  <si>
    <t>(47.62678, -122.355385)</t>
  </si>
  <si>
    <t>(47.61789, -122.33035)</t>
  </si>
  <si>
    <t>(47.581013, -122.313805)</t>
  </si>
  <si>
    <t>NOISE DISTURBANCE, RESIDENTIAL</t>
  </si>
  <si>
    <t>NOISE DISTURBANCE</t>
  </si>
  <si>
    <t>(47.52465, -122.348015)</t>
  </si>
  <si>
    <t>(47.623215, -122.33975)</t>
  </si>
  <si>
    <t>(47.647484, -122.304596)</t>
  </si>
  <si>
    <t>L2</t>
  </si>
  <si>
    <t>(47.706284, -122.31782)</t>
  </si>
  <si>
    <t>(47.61184, -122.3328)</t>
  </si>
  <si>
    <t>(47.61968, -122.33506)</t>
  </si>
  <si>
    <t>(47.615032, -122.35487)</t>
  </si>
  <si>
    <t>(47.623123, -122.31991)</t>
  </si>
  <si>
    <t>(47.58412, -122.31469)</t>
  </si>
  <si>
    <t>(47.606167, -122.306335)</t>
  </si>
  <si>
    <t>(47.580254, -122.38658)</t>
  </si>
  <si>
    <t>(47.612118, -122.3424)</t>
  </si>
  <si>
    <t>(47.723797, -122.29284)</t>
  </si>
  <si>
    <t>(47.5181, -122.35583)</t>
  </si>
  <si>
    <t>(47.602554, -122.33428)</t>
  </si>
  <si>
    <t>(47.696815, -122.327774)</t>
  </si>
  <si>
    <t>(47.7229, -122.2932)</t>
  </si>
  <si>
    <t>N2</t>
  </si>
  <si>
    <t>(47.725037, -122.34499)</t>
  </si>
  <si>
    <t>(47.733936, -122.3114)</t>
  </si>
  <si>
    <t>(47.61524, -122.320404)</t>
  </si>
  <si>
    <t>(47.6013, -122.33288)</t>
  </si>
  <si>
    <t>(47.607533, -122.33653)</t>
  </si>
  <si>
    <t>(47.59999, -122.330345)</t>
  </si>
  <si>
    <t>(47.66867, -122.379616)</t>
  </si>
  <si>
    <t>(47.61299, -122.34586)</t>
  </si>
  <si>
    <t>N1</t>
  </si>
  <si>
    <t>(47.702625, -122.363625)</t>
  </si>
  <si>
    <t>LEWD CONDUCT</t>
  </si>
  <si>
    <t>(47.62672, -122.34756)</t>
  </si>
  <si>
    <t>(47.708588, -122.321915)</t>
  </si>
  <si>
    <t>(47.693027, -122.306335)</t>
  </si>
  <si>
    <t>(47.599182, -122.31964)</t>
  </si>
  <si>
    <t>(47.68305, -122.2972)</t>
  </si>
  <si>
    <t>BICYCLE THEFT</t>
  </si>
  <si>
    <t>(47.668633, -122.39698)</t>
  </si>
  <si>
    <t>(47.60269, -122.320076)</t>
  </si>
  <si>
    <t>(47.668663, -122.36968)</t>
  </si>
  <si>
    <t>(47.624577, -122.35475)</t>
  </si>
  <si>
    <t>(47.614693, -122.31554)</t>
  </si>
  <si>
    <t>(47.610744, -122.3387)</t>
  </si>
  <si>
    <t>(47.66218, -122.31312)</t>
  </si>
  <si>
    <t>(47.624546, -122.34104)</t>
  </si>
  <si>
    <t>(47.675983, -122.34683)</t>
  </si>
  <si>
    <t>W3</t>
  </si>
  <si>
    <t>(47.505516, -122.37875)</t>
  </si>
  <si>
    <t>MOTORIST ASSIST</t>
  </si>
  <si>
    <t>(47.53981, -122.33711)</t>
  </si>
  <si>
    <t>(47.55672, -122.36167)</t>
  </si>
  <si>
    <t>(47.600025, -122.323746)</t>
  </si>
  <si>
    <t>(47.630165, -122.34754)</t>
  </si>
  <si>
    <t>(47.602676, -122.33744)</t>
  </si>
  <si>
    <t>(47.609055, -122.33946)</t>
  </si>
  <si>
    <t>(47.66926, -122.30062)</t>
  </si>
  <si>
    <t>(47.692142, -122.27535)</t>
  </si>
  <si>
    <t>(47.614685, -122.31685)</t>
  </si>
  <si>
    <t>STRONG ARM ROBBERY</t>
  </si>
  <si>
    <t>(47.615864, -122.309494)</t>
  </si>
  <si>
    <t>ARMED ROBBERY</t>
  </si>
  <si>
    <t>(47.518997, -122.28485)</t>
  </si>
  <si>
    <t>(47.597507, -122.32376)</t>
  </si>
  <si>
    <t>O3</t>
  </si>
  <si>
    <t>(47.548885, -122.311134)</t>
  </si>
  <si>
    <t>(47.67207, -122.33356)</t>
  </si>
  <si>
    <t>(47.548897, -122.28626)</t>
  </si>
  <si>
    <t>(47.57835, -122.29816)</t>
  </si>
  <si>
    <t>(47.600876, -122.33027)</t>
  </si>
  <si>
    <t>ALACAD - COMMERCIAL PANIC (FALSE)</t>
  </si>
  <si>
    <t>(47.661385, -122.33886)</t>
  </si>
  <si>
    <t>(47.607365, -122.34022)</t>
  </si>
  <si>
    <t>(47.70939, -122.31786)</t>
  </si>
  <si>
    <t>(47.613655, -122.345)</t>
  </si>
  <si>
    <t>(47.70837, -122.290764)</t>
  </si>
  <si>
    <t>ANIMALS - INJURED, DEAD, DANGEROUS</t>
  </si>
  <si>
    <t>(47.614655, -122.32079)</t>
  </si>
  <si>
    <t>(47.668644, -122.39507)</t>
  </si>
  <si>
    <t>(47.664013, -122.315254)</t>
  </si>
  <si>
    <t>(47.619324, -122.32086)</t>
  </si>
  <si>
    <t>(47.609516, -122.33835)</t>
  </si>
  <si>
    <t>U1</t>
  </si>
  <si>
    <t>(47.66566, -122.31193)</t>
  </si>
  <si>
    <t>(47.553444, -122.31348)</t>
  </si>
  <si>
    <t>(47.63718, -122.305695)</t>
  </si>
  <si>
    <t>(47.563457, -122.28801)</t>
  </si>
  <si>
    <t>(47.671642, -122.38616)</t>
  </si>
  <si>
    <t>(47.549225, -122.37501)</t>
  </si>
  <si>
    <t>(47.62458, -122.35671)</t>
  </si>
  <si>
    <t>(47.705082, -122.35478)</t>
  </si>
  <si>
    <t>(47.663105, -122.31526)</t>
  </si>
  <si>
    <t>(47.70599, -122.35546)</t>
  </si>
  <si>
    <t>(47.61018, -122.33512)</t>
  </si>
  <si>
    <t>(47.553402, -122.279655)</t>
  </si>
  <si>
    <t>(47.58451, -122.304245)</t>
  </si>
  <si>
    <t>(47.671703, -122.31495)</t>
  </si>
  <si>
    <t>(47.68775, -122.386475)</t>
  </si>
  <si>
    <t>(47.639595, -122.37031)</t>
  </si>
  <si>
    <t>(47.614082, -122.32619)</t>
  </si>
  <si>
    <t>(47.668667, -122.3749)</t>
  </si>
  <si>
    <t>(47.601715, -122.331985)</t>
  </si>
  <si>
    <t>(47.680508, -122.325966)</t>
  </si>
  <si>
    <t>(47.642273, -122.32006)</t>
  </si>
  <si>
    <t>(47.68402, -122.35386)</t>
  </si>
  <si>
    <t>G3</t>
  </si>
  <si>
    <t>(47.596653, -122.31344)</t>
  </si>
  <si>
    <t>(47.594215, -122.31026)</t>
  </si>
  <si>
    <t>(47.612396, -122.3409)</t>
  </si>
  <si>
    <t>(47.65442, -122.31908)</t>
  </si>
  <si>
    <t>(47.57925, -122.29518)</t>
  </si>
  <si>
    <t>(47.69516, -122.37141)</t>
  </si>
  <si>
    <t>(47.620148, -122.289604)</t>
  </si>
  <si>
    <t>(47.66147, -122.36969)</t>
  </si>
  <si>
    <t>(47.61007, -122.32811)</t>
  </si>
  <si>
    <t>(47.57642, -122.310745)</t>
  </si>
  <si>
    <t>(47.726196, -122.358246)</t>
  </si>
  <si>
    <t>(47.619762, -122.35414)</t>
  </si>
  <si>
    <t>(47.592686, -122.31728)</t>
  </si>
  <si>
    <t>(47.62258, -122.334274)</t>
  </si>
  <si>
    <t>(47.614674, -122.31815)</t>
  </si>
  <si>
    <t>(47.616364, -122.32344)</t>
  </si>
  <si>
    <t>(47.54453, -122.29835)</t>
  </si>
  <si>
    <t>(47.57112, -122.30177)</t>
  </si>
  <si>
    <t>(47.614117, -122.31396)</t>
  </si>
  <si>
    <t>(47.614143, -122.34782)</t>
  </si>
  <si>
    <t>(47.524696, -122.35912)</t>
  </si>
  <si>
    <t>(47.610977, -122.31678)</t>
  </si>
  <si>
    <t>(47.69418, -122.34349)</t>
  </si>
  <si>
    <t>(47.668106, -122.34008)</t>
  </si>
  <si>
    <t>NARCOTICS ACTIVITY REPORT</t>
  </si>
  <si>
    <t>(47.612732, -122.34046)</t>
  </si>
  <si>
    <t>(47.67236, -122.37489)</t>
  </si>
  <si>
    <t>(47.682526, -122.36467)</t>
  </si>
  <si>
    <t>(47.620174, -122.29609)</t>
  </si>
  <si>
    <t>(47.6186, -122.3548)</t>
  </si>
  <si>
    <t>(47.65148, -122.35136)</t>
  </si>
  <si>
    <t>(47.608818, -122.34002)</t>
  </si>
  <si>
    <t>(47.704144, -122.343315)</t>
  </si>
  <si>
    <t>(47.530975, -122.36044)</t>
  </si>
  <si>
    <t>(47.693825, -122.34456)</t>
  </si>
  <si>
    <t>(47.521038, -122.36935)</t>
  </si>
  <si>
    <t>(47.582096, -122.38651)</t>
  </si>
  <si>
    <t>(47.536957, -122.27027)</t>
  </si>
  <si>
    <t>(47.61409, -122.32735)</t>
  </si>
  <si>
    <t>(47.661358, -122.32776)</t>
  </si>
  <si>
    <t>(47.575577, -122.334206)</t>
  </si>
  <si>
    <t>(47.618736, -122.320854)</t>
  </si>
  <si>
    <t>(47.602413, -122.331085)</t>
  </si>
  <si>
    <t>(47.52327, -122.278984)</t>
  </si>
  <si>
    <t>(47.588226, -122.3342)</t>
  </si>
  <si>
    <t>(47.526463, -122.322914)</t>
  </si>
  <si>
    <t>(47.61733, -122.33337)</t>
  </si>
  <si>
    <t>(47.612606, -122.345215)</t>
  </si>
  <si>
    <t>(47.70072, -122.30293)</t>
  </si>
  <si>
    <t>(47.701393, -122.36273)</t>
  </si>
  <si>
    <t>(47.70428, -122.376755)</t>
  </si>
  <si>
    <t>(47.616978, -122.32216)</t>
  </si>
  <si>
    <t>(47.61348, -122.34868)</t>
  </si>
  <si>
    <t>(47.58724, -122.38529)</t>
  </si>
  <si>
    <t>(47.668575, -122.31737)</t>
  </si>
  <si>
    <t>(47.565773, -122.33944)</t>
  </si>
  <si>
    <t>(47.57498, -122.334206)</t>
  </si>
  <si>
    <t>(47.663662, -122.37632)</t>
  </si>
  <si>
    <t>(47.60172, -122.33287)</t>
  </si>
  <si>
    <t>(47.610962, -122.340454)</t>
  </si>
  <si>
    <t>(47.615223, -122.32213)</t>
  </si>
  <si>
    <t>(47.60982, -122.28829)</t>
  </si>
  <si>
    <t>(47.538883, -122.28314)</t>
  </si>
  <si>
    <t>(47.70549, -122.33394)</t>
  </si>
  <si>
    <t>(47.602158, -122.30244)</t>
  </si>
  <si>
    <t>(47.60302, -122.335526)</t>
  </si>
  <si>
    <t>(47.618027, -122.3405)</t>
  </si>
  <si>
    <t>AUTO RECOVERY</t>
  </si>
  <si>
    <t>(47.567238, -122.312645)</t>
  </si>
  <si>
    <t>(47.598022, -122.29507)</t>
  </si>
  <si>
    <t>(47.613373, -122.34651)</t>
  </si>
  <si>
    <t>(47.522335, -122.35963)</t>
  </si>
  <si>
    <t>(47.70673, -122.37016)</t>
  </si>
  <si>
    <t>(47.522408, -122.264496)</t>
  </si>
  <si>
    <t>(47.66568, -122.31523)</t>
  </si>
  <si>
    <t>(47.61408, -122.320114)</t>
  </si>
  <si>
    <t>(47.601696, -122.317825)</t>
  </si>
  <si>
    <t>(47.539635, -122.32224)</t>
  </si>
  <si>
    <t>(47.61268, -122.33127)</t>
  </si>
  <si>
    <t>(47.611347, -122.3411)</t>
  </si>
  <si>
    <t>(47.614216, -122.34198)</t>
  </si>
  <si>
    <t>(47.61508, -122.32831)</t>
  </si>
  <si>
    <t>(47.694435, -122.3295)</t>
  </si>
  <si>
    <t>(47.64411, -122.35755)</t>
  </si>
  <si>
    <t>(47.61911, -122.33587)</t>
  </si>
  <si>
    <t>(47.61409, -122.318794)</t>
  </si>
  <si>
    <t>(47.683044, -122.30076)</t>
  </si>
  <si>
    <t>(47.674923, -122.38759)</t>
  </si>
  <si>
    <t>(47.608326, -122.33956)</t>
  </si>
  <si>
    <t>(47.62031, -122.34355)</t>
  </si>
  <si>
    <t>(47.59829, -122.333725)</t>
  </si>
  <si>
    <t>(47.648464, -122.3775)</t>
  </si>
  <si>
    <t>(47.694397, -122.30683)</t>
  </si>
  <si>
    <t>(47.60534, -122.33941)</t>
  </si>
  <si>
    <t>(47.546906, -122.26648)</t>
  </si>
  <si>
    <t>SUSPICIOUS CIRCUMSTANCES - BUILDING (OPEN DOOR, ETC.)</t>
  </si>
  <si>
    <t>(47.714893, -122.340004)</t>
  </si>
  <si>
    <t>(47.615276, -122.314896)</t>
  </si>
  <si>
    <t>(47.62149, -122.347595)</t>
  </si>
  <si>
    <t>(47.61271, -122.347374)</t>
  </si>
  <si>
    <t>(47.692062, -122.363335)</t>
  </si>
  <si>
    <t>(47.661297, -122.31711)</t>
  </si>
  <si>
    <t>(47.601322, -122.33621)</t>
  </si>
  <si>
    <t>(47.699444, -122.31353)</t>
  </si>
  <si>
    <t>(47.58927, -122.3342)</t>
  </si>
  <si>
    <t>(47.581894, -122.329056)</t>
  </si>
  <si>
    <t>(47.574978, -122.329056)</t>
  </si>
  <si>
    <t>(47.709995, -122.32332)</t>
  </si>
  <si>
    <t>(47.62715, -122.346245)</t>
  </si>
  <si>
    <t>(47.649975, -122.342705)</t>
  </si>
  <si>
    <t>(47.620106, -122.28268)</t>
  </si>
  <si>
    <t>(47.720947, -122.290794)</t>
  </si>
  <si>
    <t>(47.526012, -122.3129)</t>
  </si>
  <si>
    <t>PROWLER</t>
  </si>
  <si>
    <t>(47.582935, -122.329056)</t>
  </si>
  <si>
    <t>(47.603874, -122.321686)</t>
  </si>
  <si>
    <t>(47.542572, -122.39477)</t>
  </si>
  <si>
    <t>(47.57855, -122.41262)</t>
  </si>
  <si>
    <t>(47.659336, -122.35002)</t>
  </si>
  <si>
    <t>(47.615086, -122.34742)</t>
  </si>
  <si>
    <t>(47.62841, -122.31356)</t>
  </si>
  <si>
    <t>(47.519848, -122.267365)</t>
  </si>
  <si>
    <t>(47.62308, -122.293144)</t>
  </si>
  <si>
    <t>(47.605885, -122.31678)</t>
  </si>
  <si>
    <t>(47.596672, -122.32441)</t>
  </si>
  <si>
    <t>(47.716248, -122.29703)</t>
  </si>
  <si>
    <t>(47.61497, -122.34921)</t>
  </si>
  <si>
    <t>(47.662888, -122.28745)</t>
  </si>
  <si>
    <t>(47.604553, -122.33304)</t>
  </si>
  <si>
    <t>(47.54614, -122.259224)</t>
  </si>
  <si>
    <t>(47.532803, -122.3685)</t>
  </si>
  <si>
    <t>(47.61091, -122.335014)</t>
  </si>
  <si>
    <t>(47.536667, -122.294785)</t>
  </si>
  <si>
    <t>(47.66945, -122.38055)</t>
  </si>
  <si>
    <t>(47.561104, -122.38678)</t>
  </si>
  <si>
    <t>(47.621082, -122.31975)</t>
  </si>
  <si>
    <t>(47.657574, -122.313225)</t>
  </si>
  <si>
    <t>(47.578766, -122.329056)</t>
  </si>
  <si>
    <t>(47.622692, -122.35673)</t>
  </si>
  <si>
    <t>(47.657513, -122.3178)</t>
  </si>
  <si>
    <t>(47.698753, -122.35807)</t>
  </si>
  <si>
    <t>(47.525566, -122.26471)</t>
  </si>
  <si>
    <t>(47.65028, -122.3513)</t>
  </si>
  <si>
    <t>(47.629436, -122.372086)</t>
  </si>
  <si>
    <t>(47.62456, -122.34692)</t>
  </si>
  <si>
    <t>(47.690926, -122.34453)</t>
  </si>
  <si>
    <t>(47.625153, -122.35801)</t>
  </si>
  <si>
    <t>(47.654133, -122.3929)</t>
  </si>
  <si>
    <t>(47.539185, -122.36932)</t>
  </si>
  <si>
    <t>(47.651253, -122.37626)</t>
  </si>
  <si>
    <t>(47.599194, -122.32701)</t>
  </si>
  <si>
    <t>(47.646553, -122.41638)</t>
  </si>
  <si>
    <t>(47.690586, -122.351974)</t>
  </si>
  <si>
    <t>(47.612103, -122.33381)</t>
  </si>
  <si>
    <t>(47.662167, -122.310844)</t>
  </si>
  <si>
    <t>(47.61582, -122.33875)</t>
  </si>
  <si>
    <t>CASUALTY (NON CRIMINAL/TRAFFIC) - MAN DOWN, SICK PERSONS, INJURED, DOA)</t>
  </si>
  <si>
    <t>(47.560608, -122.266304)</t>
  </si>
  <si>
    <t>(47.695377, -122.3768)</t>
  </si>
  <si>
    <t>(47.52195, -122.3578)</t>
  </si>
  <si>
    <t>(47.665016, -122.362045)</t>
  </si>
  <si>
    <t>(47.607338, -122.326385)</t>
  </si>
  <si>
    <t>(47.675903, -122.325714)</t>
  </si>
  <si>
    <t>(47.617905, -122.34625)</t>
  </si>
  <si>
    <t>(47.66596, -122.38267)</t>
  </si>
  <si>
    <t>(47.596657, -122.32768)</t>
  </si>
  <si>
    <t>(47.605125, -122.3305)</t>
  </si>
  <si>
    <t>(47.601303, -122.33418)</t>
  </si>
  <si>
    <t>(47.661766, -122.35004)</t>
  </si>
  <si>
    <t>(47.583588, -122.40097)</t>
  </si>
  <si>
    <t>(47.61859, -122.353096)</t>
  </si>
  <si>
    <t>(47.661385, -122.33372)</t>
  </si>
  <si>
    <t>(47.715084, -122.35956)</t>
  </si>
  <si>
    <t>(47.568344, -122.36436)</t>
  </si>
  <si>
    <t>(47.70233, -122.334526)</t>
  </si>
  <si>
    <t>(47.623245, -122.295555)</t>
  </si>
  <si>
    <t>(47.658348, -122.35334)</t>
  </si>
  <si>
    <t>MARIJUANA PUBLIC USE (NOT DISPENSARY)</t>
  </si>
  <si>
    <t>(47.72058, -122.367714)</t>
  </si>
  <si>
    <t>(47.630585, -122.34352)</t>
  </si>
  <si>
    <t>(47.609455, -122.33522)</t>
  </si>
  <si>
    <t>(47.672146, -122.28151)</t>
  </si>
  <si>
    <t>(47.608173, -122.34216)</t>
  </si>
  <si>
    <t>(47.728226, -122.34773)</t>
  </si>
  <si>
    <t>(47.525616, -122.261)</t>
  </si>
  <si>
    <t>(47.547974, -122.31611)</t>
  </si>
  <si>
    <t>(47.664913, -122.31473)</t>
  </si>
  <si>
    <t>(47.648647, -122.39156)</t>
  </si>
  <si>
    <t>(47.662865, -122.34185)</t>
  </si>
  <si>
    <t>(47.626476, -122.325325)</t>
  </si>
  <si>
    <t>(47.649532, -122.34338)</t>
  </si>
  <si>
    <t>(47.62237, -122.362976)</t>
  </si>
  <si>
    <t>(47.608017, -122.322395)</t>
  </si>
  <si>
    <t>(47.541103, -122.28879)</t>
  </si>
  <si>
    <t>(47.668663, -122.3915)</t>
  </si>
  <si>
    <t>(47.613758, -122.34716)</t>
  </si>
  <si>
    <t>(47.67455, -122.38886)</t>
  </si>
  <si>
    <t>(47.609318, -122.34047)</t>
  </si>
  <si>
    <t>(47.64898, -122.34275)</t>
  </si>
  <si>
    <t>(47.667046, -122.38395)</t>
  </si>
  <si>
    <t>(47.631115, -122.37008)</t>
  </si>
  <si>
    <t>(47.619717, -122.341736)</t>
  </si>
  <si>
    <t>(47.60978, -122.30892)</t>
  </si>
  <si>
    <t>(47.60483, -122.33943)</t>
  </si>
  <si>
    <t>(47.671898, -122.31577)</t>
  </si>
  <si>
    <t>(47.699173, -122.34732)</t>
  </si>
  <si>
    <t>(47.653065, -122.38599)</t>
  </si>
  <si>
    <t>(47.56928, -122.38677)</t>
  </si>
  <si>
    <t>(47.611355, -122.32031)</t>
  </si>
  <si>
    <t>(47.600452, -122.32766)</t>
  </si>
  <si>
    <t>(47.532623, -122.26999)</t>
  </si>
  <si>
    <t>(47.649403, -122.389755)</t>
  </si>
  <si>
    <t>(47.639034, -122.28289)</t>
  </si>
  <si>
    <t>(47.576073, -122.30952)</t>
  </si>
  <si>
    <t>(47.60215, -122.334175)</t>
  </si>
  <si>
    <t>(47.551895, -122.271286)</t>
  </si>
  <si>
    <t>(47.71957, -122.34494)</t>
  </si>
  <si>
    <t>(47.545788, -122.27567)</t>
  </si>
  <si>
    <t>(47.62054, -122.31432)</t>
  </si>
  <si>
    <t>(47.712315, -122.34347)</t>
  </si>
  <si>
    <t>(47.57101, -122.34984)</t>
  </si>
  <si>
    <t>(47.65775, -122.35446)</t>
  </si>
  <si>
    <t>(47.717175, -122.344894)</t>
  </si>
  <si>
    <t>(47.55414, -122.32896)</t>
  </si>
  <si>
    <t>(47.683952, -122.304016)</t>
  </si>
  <si>
    <t>(47.60979, -122.31153)</t>
  </si>
  <si>
    <t>(47.65162, -122.34263)</t>
  </si>
  <si>
    <t>(47.656128, -122.33024)</t>
  </si>
  <si>
    <t>(47.615585, -122.354225)</t>
  </si>
  <si>
    <t>(47.65693, -122.36394)</t>
  </si>
  <si>
    <t>(47.70052, -122.34329)</t>
  </si>
  <si>
    <t>(47.59928, -122.30224)</t>
  </si>
  <si>
    <t>(47.53063, -122.27809)</t>
  </si>
  <si>
    <t>(47.605267, -122.333694)</t>
  </si>
  <si>
    <t>(47.5337, -122.3645)</t>
  </si>
  <si>
    <t>(47.598286, -122.33158)</t>
  </si>
  <si>
    <t>(47.60169, -122.31416)</t>
  </si>
  <si>
    <t>(47.539097, -122.287445)</t>
  </si>
  <si>
    <t>(47.503387, -122.37223)</t>
  </si>
  <si>
    <t>(47.610012, -122.29688)</t>
  </si>
  <si>
    <t>(47.51828, -122.35785)</t>
  </si>
  <si>
    <t>(47.607666, -122.342354)</t>
  </si>
  <si>
    <t>(47.619022, -122.35806)</t>
  </si>
  <si>
    <t>(47.71232, -122.34482)</t>
  </si>
  <si>
    <t>(47.73405, -122.32349)</t>
  </si>
  <si>
    <t>(47.618195, -122.3156)</t>
  </si>
  <si>
    <t>(47.64368, -122.355545)</t>
  </si>
  <si>
    <t>(47.69784, -122.35806)</t>
  </si>
  <si>
    <t>(47.61353, -122.32342)</t>
  </si>
  <si>
    <t>(47.66783, -122.38349)</t>
  </si>
  <si>
    <t>(47.559685, -122.36156)</t>
  </si>
  <si>
    <t>(47.534607, -122.363174)</t>
  </si>
  <si>
    <t>(47.616577, -122.34797)</t>
  </si>
  <si>
    <t>(47.568882, -122.289925)</t>
  </si>
  <si>
    <t>PEDESTRIAN VIOLATION</t>
  </si>
  <si>
    <t>(47.58502, -122.30326)</t>
  </si>
  <si>
    <t>(47.54822, -122.3009)</t>
  </si>
  <si>
    <t>(47.529182, -122.35506)</t>
  </si>
  <si>
    <t>(47.61293, -122.303635)</t>
  </si>
  <si>
    <t>(47.546547, -122.28938)</t>
  </si>
  <si>
    <t>(47.705963, -122.343346)</t>
  </si>
  <si>
    <t>(47.719276, -122.295235)</t>
  </si>
  <si>
    <t>(47.65399, -122.37622)</t>
  </si>
  <si>
    <t>(47.671795, -122.35439)</t>
  </si>
  <si>
    <t>(47.620502, -122.31955)</t>
  </si>
  <si>
    <t>(47.6731, -122.38759)</t>
  </si>
  <si>
    <t>(47.53604, -122.3613)</t>
  </si>
  <si>
    <t>(47.58504, -122.31468)</t>
  </si>
  <si>
    <t>(47.610317, -122.34364)</t>
  </si>
  <si>
    <t>(47.567947, -122.289246)</t>
  </si>
  <si>
    <t>(47.533382, -122.27767)</t>
  </si>
  <si>
    <t>(47.71841, -122.30185)</t>
  </si>
  <si>
    <t>PROPERTY - MISSING</t>
  </si>
  <si>
    <t>(47.598335, -122.315315)</t>
  </si>
  <si>
    <t>(47.62823, -122.36494)</t>
  </si>
  <si>
    <t>(47.568424, -122.370766)</t>
  </si>
  <si>
    <t>(47.53704, -122.281296)</t>
  </si>
  <si>
    <t>(47.71679, -122.32749)</t>
  </si>
  <si>
    <t>RECKLESS ENDANGERMENT, LITTERING, PARKS CODE VIOLATIONS</t>
  </si>
  <si>
    <t>(47.66213, -122.33842)</t>
  </si>
  <si>
    <t>(47.713547, -122.34483)</t>
  </si>
  <si>
    <t>(47.60517, -122.29263)</t>
  </si>
  <si>
    <t>(47.61486, -122.351006)</t>
  </si>
  <si>
    <t>(47.553345, -122.26904)</t>
  </si>
  <si>
    <t>(47.55155, -122.27787)</t>
  </si>
  <si>
    <t>(47.52476, -122.32163)</t>
  </si>
  <si>
    <t>(47.556984, -122.39114)</t>
  </si>
  <si>
    <t>(47.733223, -122.34779)</t>
  </si>
  <si>
    <t>(47.66538, -122.37622)</t>
  </si>
  <si>
    <t>(47.626293, -122.35082)</t>
  </si>
  <si>
    <t>(47.637264, -122.3421)</t>
  </si>
  <si>
    <t>(47.66386, -122.39829)</t>
  </si>
  <si>
    <t>(47.575954, -122.41903)</t>
  </si>
  <si>
    <t>(47.52194, -122.36454)</t>
  </si>
  <si>
    <t>(47.614048, -122.28873)</t>
  </si>
  <si>
    <t>(47.72551, -122.3423)</t>
  </si>
  <si>
    <t>(47.521027, -122.36731)</t>
  </si>
  <si>
    <t>JUVENILE DISTURBANCE</t>
  </si>
  <si>
    <t>(47.525627, -122.326904)</t>
  </si>
  <si>
    <t>(47.627483, -122.332466)</t>
  </si>
  <si>
    <t>(47.611176, -122.33603)</t>
  </si>
  <si>
    <t>(47.608017, -122.30632)</t>
  </si>
  <si>
    <t>(47.694176, -122.34295)</t>
  </si>
  <si>
    <t>(47.574738, -122.38805)</t>
  </si>
  <si>
    <t>FORGERY, BAD CHECKS</t>
  </si>
  <si>
    <t>(47.6524, -122.36409)</t>
  </si>
  <si>
    <t>(47.65217, -122.3749)</t>
  </si>
  <si>
    <t>(47.5659, -122.28868)</t>
  </si>
  <si>
    <t>(47.6053, -122.338326)</t>
  </si>
  <si>
    <t>(47.621532, -122.3209)</t>
  </si>
  <si>
    <t>(47.62466, -122.32094)</t>
  </si>
  <si>
    <t>(47.62269, -122.35542)</t>
  </si>
  <si>
    <t>(47.577938, -122.29784)</t>
  </si>
  <si>
    <t>(47.731953, -122.29384)</t>
  </si>
  <si>
    <t>(47.72651, -122.29641)</t>
  </si>
  <si>
    <t>(47.580994, -122.30017)</t>
  </si>
  <si>
    <t>(47.564075, -122.37619)</t>
  </si>
  <si>
    <t>(47.67017, -122.37359)</t>
  </si>
  <si>
    <t>(47.57733, -122.2962)</t>
  </si>
  <si>
    <t>(47.635185, -122.28265)</t>
  </si>
  <si>
    <t>(47.667538, -122.398315)</t>
  </si>
  <si>
    <t>(47.612186, -122.35002)</t>
  </si>
  <si>
    <t>(47.663998, -122.31309)</t>
  </si>
  <si>
    <t>(47.523773, -122.37801)</t>
  </si>
  <si>
    <t>(47.608208, -122.34327)</t>
  </si>
  <si>
    <t>(47.616055, -122.33617)</t>
  </si>
  <si>
    <t>(47.61785, -122.33425)</t>
  </si>
  <si>
    <t>(47.723866, -122.30458)</t>
  </si>
  <si>
    <t>(47.60088, -122.33157)</t>
  </si>
  <si>
    <t>(47.68198, -122.32402)</t>
  </si>
  <si>
    <t>(47.619743, -122.34886)</t>
  </si>
  <si>
    <t>(47.599186, -122.320335)</t>
  </si>
  <si>
    <t>(47.629585, -122.35988)</t>
  </si>
  <si>
    <t>(47.622074, -122.34694)</t>
  </si>
  <si>
    <t>(47.61278, -122.341545)</t>
  </si>
  <si>
    <t>(47.538914, -122.293755)</t>
  </si>
  <si>
    <t>(47.668617, -122.39973)</t>
  </si>
  <si>
    <t>(47.612988, -122.32546)</t>
  </si>
  <si>
    <t>(47.612137, -122.33537)</t>
  </si>
  <si>
    <t>(47.512585, -122.264725)</t>
  </si>
  <si>
    <t>(47.623928, -122.35671)</t>
  </si>
  <si>
    <t>(47.60423, -122.33735)</t>
  </si>
  <si>
    <t>CRISIS COMPLAINT - PICK-UP OR TRANSPORT</t>
  </si>
  <si>
    <t>(47.618492, -122.32618)</t>
  </si>
  <si>
    <t>(47.60957, -122.324585)</t>
  </si>
  <si>
    <t>(47.65141, -122.35448)</t>
  </si>
  <si>
    <t>(47.621986, -122.32091)</t>
  </si>
  <si>
    <t>(47.63645, -122.30414)</t>
  </si>
  <si>
    <t>(47.63698, -122.28264)</t>
  </si>
  <si>
    <t>(47.68208, -122.28777)</t>
  </si>
  <si>
    <t>(47.62255, -122.31886)</t>
  </si>
  <si>
    <t>(47.69898, -122.38643)</t>
  </si>
  <si>
    <t>(47.616444, -122.31015)</t>
  </si>
  <si>
    <t>(47.59056, -122.30747)</t>
  </si>
  <si>
    <t>(47.7194, -122.311325)</t>
  </si>
  <si>
    <t>(47.685482, -122.3553)</t>
  </si>
  <si>
    <t>(47.53066, -122.39271)</t>
  </si>
  <si>
    <t>(47.622543, -122.31782)</t>
  </si>
  <si>
    <t>(47.54861, -122.3013)</t>
  </si>
  <si>
    <t>(47.583645, -122.29924)</t>
  </si>
  <si>
    <t>(47.57058, -122.355965)</t>
  </si>
  <si>
    <t>(47.663662, -122.374855)</t>
  </si>
  <si>
    <t>(47.66493, -122.31634)</t>
  </si>
  <si>
    <t>(47.66077, -122.32404)</t>
  </si>
  <si>
    <t>(47.57156, -122.34451)</t>
  </si>
  <si>
    <t>(47.611454, -122.34326)</t>
  </si>
  <si>
    <t>(47.661385, -122.33991)</t>
  </si>
  <si>
    <t>(47.56085, -122.29465)</t>
  </si>
  <si>
    <t>(47.678673, -122.37196)</t>
  </si>
  <si>
    <t>(47.609253, -122.33734)</t>
  </si>
  <si>
    <t>(47.705044, -122.3381)</t>
  </si>
  <si>
    <t>(47.592506, -122.29906)</t>
  </si>
  <si>
    <t>(47.582493, -122.3776)</t>
  </si>
  <si>
    <t>(47.693333, -122.35801)</t>
  </si>
  <si>
    <t>(47.66311, -122.31636)</t>
  </si>
  <si>
    <t>(47.65336, -122.34925)</t>
  </si>
  <si>
    <t>(47.689835, -122.359314)</t>
  </si>
  <si>
    <t>(47.610214, -122.336685)</t>
  </si>
  <si>
    <t>(47.72055, -122.36231)</t>
  </si>
  <si>
    <t>(47.56466, -122.37257)</t>
  </si>
  <si>
    <t>(47.572506, -122.30554)</t>
  </si>
  <si>
    <t>(47.665012, -122.35146)</t>
  </si>
  <si>
    <t>(47.643387, -122.383316)</t>
  </si>
  <si>
    <t>(47.610245, -122.33825)</t>
  </si>
  <si>
    <t>(47.69708, -122.343254)</t>
  </si>
  <si>
    <t>(47.652004, -122.35342)</t>
  </si>
  <si>
    <t>(47.619, -122.30737)</t>
  </si>
  <si>
    <t>(47.70598, -122.35144)</t>
  </si>
  <si>
    <t>(47.611553, -122.31478)</t>
  </si>
  <si>
    <t>(47.6062, -122.31678)</t>
  </si>
  <si>
    <t>(47.663223, -122.340645)</t>
  </si>
  <si>
    <t>(47.58999, -122.31728)</t>
  </si>
  <si>
    <t>(47.693264, -122.341324)</t>
  </si>
  <si>
    <t>(47.609802, -122.324036)</t>
  </si>
  <si>
    <t>(47.692436, -122.37411)</t>
  </si>
  <si>
    <t>(47.62369, -122.333)</t>
  </si>
  <si>
    <t>(47.60619, -122.31416)</t>
  </si>
  <si>
    <t>(47.543785, -122.27813)</t>
  </si>
  <si>
    <t>(47.649387, -122.38597)</t>
  </si>
  <si>
    <t>(47.584114, -122.31207)</t>
  </si>
  <si>
    <t>(47.563503, -122.313515)</t>
  </si>
  <si>
    <t>(47.62511, -122.29378)</t>
  </si>
  <si>
    <t>(47.725674, -122.30458)</t>
  </si>
  <si>
    <t>(47.544285, -122.26016)</t>
  </si>
  <si>
    <t>(47.597507, -122.32245)</t>
  </si>
  <si>
    <t>(47.706707, -122.34472)</t>
  </si>
  <si>
    <t>(47.547012, -122.28609)</t>
  </si>
  <si>
    <t>(47.618767, -122.31691)</t>
  </si>
  <si>
    <t>(47.545536, -122.262955)</t>
  </si>
  <si>
    <t>(47.604324, -122.30243)</t>
  </si>
  <si>
    <t>(47.60172, -122.329025)</t>
  </si>
  <si>
    <t>(47.61524, -122.32002)</t>
  </si>
  <si>
    <t>(47.62198, -122.32659)</t>
  </si>
  <si>
    <t>(47.5181, -122.3565)</t>
  </si>
  <si>
    <t>(47.708603, -122.324615)</t>
  </si>
  <si>
    <t>(47.507298, -122.24912)</t>
  </si>
  <si>
    <t>(47.54866, -122.25927)</t>
  </si>
  <si>
    <t>(47.59708, -122.31723)</t>
  </si>
  <si>
    <t>(47.669823, -122.38759)</t>
  </si>
  <si>
    <t>(47.62264, -122.34237)</t>
  </si>
  <si>
    <t>(47.63537, -122.3254)</t>
  </si>
  <si>
    <t>(47.663933, -122.34093)</t>
  </si>
  <si>
    <t>(47.661755, -122.34213)</t>
  </si>
  <si>
    <t>(47.522335, -122.359146)</t>
  </si>
  <si>
    <t>(47.618565, -122.34631)</t>
  </si>
  <si>
    <t>(47.6189, -122.29612)</t>
  </si>
  <si>
    <t>(47.662205, -122.31653)</t>
  </si>
  <si>
    <t>(47.697723, -122.32711)</t>
  </si>
  <si>
    <t>(47.59647, -122.335396)</t>
  </si>
  <si>
    <t>(47.693317, -122.35533)</t>
  </si>
  <si>
    <t>(47.66868, -122.38475)</t>
  </si>
  <si>
    <t>(47.66358, -122.301735)</t>
  </si>
  <si>
    <t>(47.67732, -122.264305)</t>
  </si>
  <si>
    <t>(47.545288, -122.28208)</t>
  </si>
  <si>
    <t>(47.70433, -122.34603)</t>
  </si>
  <si>
    <t>(47.52103, -122.35714)</t>
  </si>
  <si>
    <t>(47.518276, -122.355156)</t>
  </si>
  <si>
    <t>(47.70594, -122.333275)</t>
  </si>
  <si>
    <t>(47.60975, -122.33779)</t>
  </si>
  <si>
    <t>(47.623714, -122.32532)</t>
  </si>
  <si>
    <t>(47.632328, -122.36441)</t>
  </si>
  <si>
    <t>(47.56834, -122.36675)</t>
  </si>
  <si>
    <t>(47.604782, -122.31941)</t>
  </si>
  <si>
    <t>(47.621998, -122.32308)</t>
  </si>
  <si>
    <t>(47.640068, -122.38672)</t>
  </si>
  <si>
    <t>(47.622696, -122.35803)</t>
  </si>
  <si>
    <t>(47.646584, -122.38197)</t>
  </si>
  <si>
    <t>(47.617054, -122.297455)</t>
  </si>
  <si>
    <t>(47.549397, -122.387115)</t>
  </si>
  <si>
    <t>(47.54833, -122.29688)</t>
  </si>
  <si>
    <t>(47.599243, -122.30831)</t>
  </si>
  <si>
    <t>FELONY WARRANT SERVICE</t>
  </si>
  <si>
    <t>(47.61404, -122.34566)</t>
  </si>
  <si>
    <t>(47.555344, -122.30614)</t>
  </si>
  <si>
    <t>(47.59515, -122.386795)</t>
  </si>
  <si>
    <t>(47.54924, -122.29688)</t>
  </si>
  <si>
    <t>(47.57155, -122.3291)</t>
  </si>
  <si>
    <t>(47.718376, -122.29792)</t>
  </si>
  <si>
    <t>(47.548866, -122.31651)</t>
  </si>
  <si>
    <t>(47.667503, -122.3152)</t>
  </si>
  <si>
    <t>(47.62255, -122.329155)</t>
  </si>
  <si>
    <t>(47.661255, -122.306526)</t>
  </si>
  <si>
    <t>(47.618114, -122.32594)</t>
  </si>
  <si>
    <t>(47.51992, -122.26926)</t>
  </si>
  <si>
    <t>(47.615887, -122.337875)</t>
  </si>
  <si>
    <t>(47.621407, -122.326584)</t>
  </si>
  <si>
    <t>(47.61704, -122.325554)</t>
  </si>
  <si>
    <t>(47.66311, -122.31581)</t>
  </si>
  <si>
    <t>(47.57475, -122.29248)</t>
  </si>
  <si>
    <t>(47.60805, -122.327034)</t>
  </si>
  <si>
    <t>NARCOTICS FOUND, RECOVERED</t>
  </si>
  <si>
    <t>(47.693935, -122.306175)</t>
  </si>
  <si>
    <t>(47.57075, -122.40951)</t>
  </si>
  <si>
    <t>(47.620827, -122.32658)</t>
  </si>
  <si>
    <t>(47.571014, -122.34951)</t>
  </si>
  <si>
    <t>(47.615227, -122.323944)</t>
  </si>
  <si>
    <t>(47.625015, -122.3554)</t>
  </si>
  <si>
    <t>(47.621437, -122.347595)</t>
  </si>
  <si>
    <t>(47.593803, -122.302216)</t>
  </si>
  <si>
    <t>(47.619164, -122.34961)</t>
  </si>
  <si>
    <t>(47.523308, -122.26999)</t>
  </si>
  <si>
    <t>(47.61296, -122.32076)</t>
  </si>
  <si>
    <t>(47.70231, -122.32463)</t>
  </si>
  <si>
    <t>(47.614082, -122.31945)</t>
  </si>
  <si>
    <t>(47.620586, -122.29987)</t>
  </si>
  <si>
    <t>(47.63751, -122.3259)</t>
  </si>
  <si>
    <t>(47.59834, -122.31723)</t>
  </si>
  <si>
    <t>(47.698555, -122.31624)</t>
  </si>
  <si>
    <t>(47.578342, -122.293)</t>
  </si>
  <si>
    <t>(47.61873, -122.32286)</t>
  </si>
  <si>
    <t>(47.645664, -122.37627)</t>
  </si>
  <si>
    <t>(47.54572, -122.3201)</t>
  </si>
  <si>
    <t>(47.6702, -122.30898)</t>
  </si>
  <si>
    <t>(47.608723, -122.34063)</t>
  </si>
  <si>
    <t>(47.52195, -122.35512)</t>
  </si>
  <si>
    <t>(47.630585, -122.34423)</t>
  </si>
  <si>
    <t>(47.686943, -122.345856)</t>
  </si>
  <si>
    <t>(47.67291, -122.33222)</t>
  </si>
  <si>
    <t>(47.680325, -122.309875)</t>
  </si>
  <si>
    <t>(47.509697, -122.25875)</t>
  </si>
  <si>
    <t>(47.61409, -122.32446)</t>
  </si>
  <si>
    <t>(47.731037, -122.34506)</t>
  </si>
  <si>
    <t>(47.696804, -122.40045)</t>
  </si>
  <si>
    <t>(47.615242, -122.319466)</t>
  </si>
  <si>
    <t>(47.664898, -122.31307)</t>
  </si>
  <si>
    <t>(47.56011, -122.28649)</t>
  </si>
  <si>
    <t>(47.630997, -122.34495)</t>
  </si>
  <si>
    <t>(47.583656, -122.3022)</t>
  </si>
  <si>
    <t>(47.571373, -122.366)</t>
  </si>
  <si>
    <t>(47.732094, -122.31003)</t>
  </si>
  <si>
    <t>(47.521893, -122.346725)</t>
  </si>
  <si>
    <t>(47.608177, -122.32792)</t>
  </si>
  <si>
    <t>(47.60204, -122.32919)</t>
  </si>
  <si>
    <t>(47.67498, -122.31651)</t>
  </si>
  <si>
    <t>(47.718193, -122.31681)</t>
  </si>
  <si>
    <t>(47.578354, -122.413284)</t>
  </si>
  <si>
    <t>(47.554707, -122.282135)</t>
  </si>
  <si>
    <t>(47.61051, -122.33926)</t>
  </si>
  <si>
    <t>(47.65124, -122.3833)</t>
  </si>
  <si>
    <t>(47.585064, -122.321396)</t>
  </si>
  <si>
    <t>(47.700718, -122.36405)</t>
  </si>
  <si>
    <t>(47.670547, -122.38474)</t>
  </si>
  <si>
    <t>(47.639126, -122.39899)</t>
  </si>
  <si>
    <t>(47.690563, -122.2907)</t>
  </si>
  <si>
    <t>(47.53604, -122.339005)</t>
  </si>
  <si>
    <t>(47.642754, -122.39296)</t>
  </si>
  <si>
    <t>(47.631855, -122.344955)</t>
  </si>
  <si>
    <t>(47.61724, -122.34711)</t>
  </si>
  <si>
    <t>(47.618114, -122.326744)</t>
  </si>
  <si>
    <t>(47.647175, -122.389725)</t>
  </si>
  <si>
    <t>(47.53992, -122.387276)</t>
  </si>
  <si>
    <t>(47.66403, -122.31741)</t>
  </si>
  <si>
    <t>(47.614063, -122.32211)</t>
  </si>
  <si>
    <t>(47.518204, -122.34288)</t>
  </si>
  <si>
    <t>(47.61062, -122.3409)</t>
  </si>
  <si>
    <t>(47.60619, -122.313515)</t>
  </si>
  <si>
    <t>(47.647568, -122.33636)</t>
  </si>
  <si>
    <t>(47.6211, -122.31695)</t>
  </si>
  <si>
    <t>(47.673466, -122.38759)</t>
  </si>
  <si>
    <t>(47.689835, -122.36065)</t>
  </si>
  <si>
    <t>(47.681892, -122.31747)</t>
  </si>
  <si>
    <t>(47.688385, -122.36065)</t>
  </si>
  <si>
    <t>(47.67054, -122.37888)</t>
  </si>
  <si>
    <t>(47.607067, -122.33764)</t>
  </si>
  <si>
    <t>(47.536945, -122.27401)</t>
  </si>
  <si>
    <t>(47.702183, -122.35408)</t>
  </si>
  <si>
    <t>(47.630882, -122.37392)</t>
  </si>
  <si>
    <t>(47.56441, -122.31476)</t>
  </si>
  <si>
    <t>(47.55208, -122.319756)</t>
  </si>
  <si>
    <t>(47.68839, -122.356636)</t>
  </si>
  <si>
    <t>(47.604942, -122.338005)</t>
  </si>
  <si>
    <t>(47.55335, -122.32101)</t>
  </si>
  <si>
    <t>(47.620087, -122.31139)</t>
  </si>
  <si>
    <t>(47.727314, -122.34772)</t>
  </si>
  <si>
    <t>(47.690216, -122.3553)</t>
  </si>
  <si>
    <t>(47.664513, -122.32071)</t>
  </si>
  <si>
    <t>(47.615223, -122.33379)</t>
  </si>
  <si>
    <t>(47.6176, -122.316895)</t>
  </si>
  <si>
    <t>(47.60436, -122.318756)</t>
  </si>
  <si>
    <t>(47.693314, -122.35396)</t>
  </si>
  <si>
    <t>(47.60352, -122.31941)</t>
  </si>
  <si>
    <t>(47.605785, -122.324196)</t>
  </si>
  <si>
    <t>(47.62369, -122.317795)</t>
  </si>
  <si>
    <t>(47.549744, -122.285194)</t>
  </si>
  <si>
    <t>(47.535515, -122.36215)</t>
  </si>
  <si>
    <t>(47.730316, -122.347755)</t>
  </si>
  <si>
    <t>(47.66789, -122.37218)</t>
  </si>
  <si>
    <t>(47.623127, -122.298775)</t>
  </si>
  <si>
    <t>(47.664936, -122.317406)</t>
  </si>
  <si>
    <t>(47.57825, -122.41198)</t>
  </si>
  <si>
    <t>(47.633327, -122.39187)</t>
  </si>
  <si>
    <t>(47.661297, -122.31764)</t>
  </si>
  <si>
    <t>(47.66789, -122.3749)</t>
  </si>
  <si>
    <t>(47.57665, -122.329056)</t>
  </si>
  <si>
    <t>(47.57874, -122.411964)</t>
  </si>
  <si>
    <t>(47.675808, -122.315)</t>
  </si>
  <si>
    <t>(47.677013, -122.40213)</t>
  </si>
  <si>
    <t>(47.714912, -122.29781)</t>
  </si>
  <si>
    <t>(47.62352, -122.30116)</t>
  </si>
  <si>
    <t>(47.5373, -122.286865)</t>
  </si>
  <si>
    <t>(47.55508, -122.301735)</t>
  </si>
  <si>
    <t>(47.678673, -122.37513)</t>
  </si>
  <si>
    <t>(47.536453, -122.369804)</t>
  </si>
  <si>
    <t>(47.67914, -122.32239)</t>
  </si>
  <si>
    <t>(47.705082, -122.35545)</t>
  </si>
  <si>
    <t>(47.662937, -122.3789)</t>
  </si>
  <si>
    <t>(47.554977, -122.33783)</t>
  </si>
  <si>
    <t>(47.609585, -122.326904)</t>
  </si>
  <si>
    <t>(47.66226, -122.326164)</t>
  </si>
  <si>
    <t>(47.607258, -122.34175)</t>
  </si>
  <si>
    <t>(47.58504, -122.33327)</t>
  </si>
  <si>
    <t>(47.654335, -122.32571)</t>
  </si>
  <si>
    <t>(47.656002, -122.32245)</t>
  </si>
  <si>
    <t>(47.575596, -122.38137)</t>
  </si>
  <si>
    <t>(47.51888, -122.27983)</t>
  </si>
  <si>
    <t>(47.62049, -122.320885)</t>
  </si>
  <si>
    <t>(47.61407, -122.32145)</t>
  </si>
  <si>
    <t>(47.607285, -122.33477)</t>
  </si>
  <si>
    <t>(47.684853, -122.28526)</t>
  </si>
  <si>
    <t>(47.665043, -122.370766)</t>
  </si>
  <si>
    <t>(47.526115, -122.27694)</t>
  </si>
  <si>
    <t>Incident Location Count</t>
  </si>
  <si>
    <t>Grand Total</t>
  </si>
  <si>
    <t>26-Mar</t>
  </si>
  <si>
    <t>27-Mar</t>
  </si>
  <si>
    <t>28-Mar</t>
  </si>
  <si>
    <t>Date</t>
  </si>
  <si>
    <t>Count of Events</t>
  </si>
  <si>
    <t>Event Type</t>
  </si>
  <si>
    <t>Sector</t>
  </si>
  <si>
    <t>District Sector</t>
  </si>
  <si>
    <t>No. of Incidents</t>
  </si>
  <si>
    <t>Officers at Scene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</si>
  <si>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</si>
  <si>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</si>
  <si>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</si>
  <si>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</si>
  <si>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</si>
  <si>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</si>
  <si>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</si>
  <si>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</si>
  <si>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</si>
  <si>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</si>
  <si>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</si>
  <si>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</si>
  <si>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</si>
  <si>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</si>
  <si>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</si>
  <si>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</si>
  <si>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</si>
  <si>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</si>
  <si>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</si>
  <si>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</si>
  <si>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</si>
  <si>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</si>
  <si>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</si>
  <si>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E.</t>
  </si>
  <si>
    <t>F.</t>
  </si>
  <si>
    <t>RESIDUAL OUTPUT</t>
  </si>
  <si>
    <t>Observation</t>
  </si>
  <si>
    <t>Predicted Y</t>
  </si>
  <si>
    <t>Residuals</t>
  </si>
  <si>
    <t>G.</t>
  </si>
  <si>
    <t>H.</t>
  </si>
  <si>
    <t>Officers Per Incident</t>
  </si>
  <si>
    <t>Totals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</si>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</sst>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left"/>
    </xf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[AKM1_Part1_Mastered_Data.xlsx]Part_C_NumberByDate!PivotTable2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Events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70AD47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4031714785651799"/>
          <c:y val="0.30904892096821229"/>
          <c:w val="0.43538648293963256"/>
          <c:h val="0.6066998396033829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Part_C_NumberByDate!$B$1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70AD47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Part_C_NumberByDate!$A$2:$A$5</c:f>
              <c:strCache>
                <c:ptCount val="3"/>
                <c:pt idx="0">
                  <c:v>26-Mar</c:v>
                </c:pt>
                <c:pt idx="1">
                  <c:v>27-Mar</c:v>
                </c:pt>
                <c:pt idx="2">
                  <c:v>28-Mar</c:v>
                </c:pt>
              </c:strCache>
            </c:strRef>
          </c:cat>
          <c:val>
            <c:numRef>
              <c:f>Part_C_NumberByDate!$B$2:$B$5</c:f>
              <c:numCache>
                <c:formatCode>General</c:formatCode>
                <c:ptCount val="3"/>
                <c:pt idx="0">
                  <c:v>243</c:v>
                </c:pt>
                <c:pt idx="1">
                  <c:v>583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D-42A0-BA6E-536C3D7D25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20624184"/>
        <c:axId val="620623864"/>
        <c:axId val="0"/>
      </c:bar3DChart>
      <c:catAx>
        <c:axId val="620624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23864"/>
        <c:crosses val="autoZero"/>
        <c:auto val="1"/>
        <c:lblAlgn val="ctr"/>
        <c:lblOffset val="100"/>
        <c:noMultiLvlLbl val="0"/>
      </c:catAx>
      <c:valAx>
        <c:axId val="620623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062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[AKM1_Part1_Mastered_Data.xlsx]Part_C_NumberByEventType!PivotTable3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Events by Type</a:t>
            </a:r>
          </a:p>
        </c:rich>
      </c:tx>
      <c:layout>
        <c:manualLayout>
          <c:xMode val="edge"/>
          <c:yMode val="edge"/>
          <c:x val="0.38269897322571306"/>
          <c:y val="4.89505858767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Part_C_NumberByEventType!$B$1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Part_C_NumberByEventType!$A$2:$A$67</c:f>
              <c:strCache>
                <c:ptCount val="65"/>
                <c:pt idx="0">
                  <c:v>JUVENILE DISTURBANCE</c:v>
                </c:pt>
                <c:pt idx="1">
                  <c:v>HARBOR - DEBRIS, NAVIGATIONAL HAZARDS</c:v>
                </c:pt>
                <c:pt idx="2">
                  <c:v>PERSON WITH A WEAPON (NOT GUN)</c:v>
                </c:pt>
                <c:pt idx="3">
                  <c:v>RECKLESS ENDANGERMENT, LITTERING, PARKS CODE VIOLATIONS</c:v>
                </c:pt>
                <c:pt idx="4">
                  <c:v>CRISIS COMPLAINT - PICK-UP OR TRANSPORT</c:v>
                </c:pt>
                <c:pt idx="5">
                  <c:v>NARCOTICS ACTIVITY REPORT</c:v>
                </c:pt>
                <c:pt idx="6">
                  <c:v>ANIMALS - INJURED, DEAD, DANGEROUS</c:v>
                </c:pt>
                <c:pt idx="7">
                  <c:v>NARCOTICS FOUND, RECOVERED</c:v>
                </c:pt>
                <c:pt idx="8">
                  <c:v>FELONY WARRANT SERVICE</c:v>
                </c:pt>
                <c:pt idx="9">
                  <c:v>PARKS EXCLUSION</c:v>
                </c:pt>
                <c:pt idx="10">
                  <c:v>LEWD CONDUCT</c:v>
                </c:pt>
                <c:pt idx="11">
                  <c:v>MISDEMEANOR WARRANT SERVICE</c:v>
                </c:pt>
                <c:pt idx="12">
                  <c:v>FORGERY, BAD CHECKS</c:v>
                </c:pt>
                <c:pt idx="13">
                  <c:v>BICYCLE THEFT</c:v>
                </c:pt>
                <c:pt idx="14">
                  <c:v>NARCOTICS, DRUG TRAFFIC LOITERING</c:v>
                </c:pt>
                <c:pt idx="15">
                  <c:v>PROPERTY - MISSING</c:v>
                </c:pt>
                <c:pt idx="16">
                  <c:v>STRONG ARM ROBBERY</c:v>
                </c:pt>
                <c:pt idx="17">
                  <c:v>MOTORIST ASSIST</c:v>
                </c:pt>
                <c:pt idx="18">
                  <c:v>ANIMAL NOISE, STRAYS, BITES</c:v>
                </c:pt>
                <c:pt idx="19">
                  <c:v>MARIJUANA PUBLIC USE (NOT DISPENSARY)</c:v>
                </c:pt>
                <c:pt idx="20">
                  <c:v>GANG GRAFFITI</c:v>
                </c:pt>
                <c:pt idx="21">
                  <c:v>MISSING PERSON</c:v>
                </c:pt>
                <c:pt idx="22">
                  <c:v>PEDESTRIAN VIOLATION</c:v>
                </c:pt>
                <c:pt idx="23">
                  <c:v>AUTO RECOVERY</c:v>
                </c:pt>
                <c:pt idx="24">
                  <c:v>BURGLARY - RESIDENTIAL, OCCUPIED</c:v>
                </c:pt>
                <c:pt idx="25">
                  <c:v>PROWLER</c:v>
                </c:pt>
                <c:pt idx="26">
                  <c:v>ALACAD - COMMERCIAL PANIC (FALSE)</c:v>
                </c:pt>
                <c:pt idx="27">
                  <c:v>BLOCKING VEHICLE</c:v>
                </c:pt>
                <c:pt idx="28">
                  <c:v>ABANDONED VEHICLE</c:v>
                </c:pt>
                <c:pt idx="29">
                  <c:v>FRAUD (INCLUDING IDENTITY THEFT)</c:v>
                </c:pt>
                <c:pt idx="30">
                  <c:v>BURGLARY - UNOCCUPIED STRUCTURE ON RESIDENTIAL PROPERTY</c:v>
                </c:pt>
                <c:pt idx="31">
                  <c:v>LICENSE PLATE THEFT OR LOSS</c:v>
                </c:pt>
                <c:pt idx="32">
                  <c:v>CASUALTY (NON CRIMINAL/TRAFFIC) - MAN DOWN, SICK PERSONS, INJURED, DOA)</c:v>
                </c:pt>
                <c:pt idx="33">
                  <c:v>ARMED ROBBERY</c:v>
                </c:pt>
                <c:pt idx="34">
                  <c:v>LIQUOR VIOLATION - ADULT</c:v>
                </c:pt>
                <c:pt idx="35">
                  <c:v>NOISE DISTURBANCE, RESIDENTIAL</c:v>
                </c:pt>
                <c:pt idx="36">
                  <c:v>HARASSMENT, THREATS</c:v>
                </c:pt>
                <c:pt idx="37">
                  <c:v>NARCOTICS, OTHER</c:v>
                </c:pt>
                <c:pt idx="38">
                  <c:v>ALACAD - RESIDENTIAL PANIC (FALSE)</c:v>
                </c:pt>
                <c:pt idx="39">
                  <c:v>BURGLARY - COMMERCIAL</c:v>
                </c:pt>
                <c:pt idx="40">
                  <c:v>BURGLARY - RESIDENTIAL, UNOCCUPIED</c:v>
                </c:pt>
                <c:pt idx="41">
                  <c:v>PROPERTY - FOUND (FOLLOW UP TO SPD CASE)</c:v>
                </c:pt>
                <c:pt idx="42">
                  <c:v>SUSPICIOUS CIRCUMSTANCES - BUILDING (OPEN DOOR, ETC.)</c:v>
                </c:pt>
                <c:pt idx="43">
                  <c:v>FIGHT DISTURBANCE</c:v>
                </c:pt>
                <c:pt idx="44">
                  <c:v>HAZARDS</c:v>
                </c:pt>
                <c:pt idx="45">
                  <c:v>PROPERTY DESTRUCTION</c:v>
                </c:pt>
                <c:pt idx="46">
                  <c:v>AUTO THEFT</c:v>
                </c:pt>
                <c:pt idx="47">
                  <c:v>THEFT - MISCELLANEOUS</c:v>
                </c:pt>
                <c:pt idx="48">
                  <c:v>DRIVING WHILE UNDER INFLUENCE (DUI)</c:v>
                </c:pt>
                <c:pt idx="49">
                  <c:v>SHOPLIFT</c:v>
                </c:pt>
                <c:pt idx="50">
                  <c:v>ALACAD - RESIDENTIAL BURGLARY (FALSE)</c:v>
                </c:pt>
                <c:pt idx="51">
                  <c:v>ASSAULTS, OTHER</c:v>
                </c:pt>
                <c:pt idx="52">
                  <c:v>NOISE DISTURBANCE</c:v>
                </c:pt>
                <c:pt idx="53">
                  <c:v>CRISIS COMPLAINT - GENERAL</c:v>
                </c:pt>
                <c:pt idx="54">
                  <c:v>ALACAD - COMMERCIAL BURGLARY (FALSE)</c:v>
                </c:pt>
                <c:pt idx="55">
                  <c:v>SUSPICIOUS VEHICLE</c:v>
                </c:pt>
                <c:pt idx="56">
                  <c:v>MISCHIEF, NUISANCE COMPLAINTS</c:v>
                </c:pt>
                <c:pt idx="57">
                  <c:v>LIQUOR VIOLATION - INTOXICATED PERSON</c:v>
                </c:pt>
                <c:pt idx="58">
                  <c:v>THEFT - CAR PROWL</c:v>
                </c:pt>
                <c:pt idx="59">
                  <c:v>TRESPASS</c:v>
                </c:pt>
                <c:pt idx="60">
                  <c:v>MOTOR VEHICLE COLLISION</c:v>
                </c:pt>
                <c:pt idx="61">
                  <c:v>TRAFFIC (MOVING) VIOLATION</c:v>
                </c:pt>
                <c:pt idx="62">
                  <c:v>PARKING VIOLATION (EXCEPT ABANDONED VEHICLES)</c:v>
                </c:pt>
                <c:pt idx="63">
                  <c:v>SUSPICIOUS PERSON</c:v>
                </c:pt>
                <c:pt idx="64">
                  <c:v>DISTURBANCE, OTHER</c:v>
                </c:pt>
              </c:strCache>
            </c:strRef>
          </c:cat>
          <c:val>
            <c:numRef>
              <c:f>Part_C_NumberByEventType!$B$2:$B$67</c:f>
              <c:numCache>
                <c:formatCode>General</c:formatCode>
                <c:ptCount val="6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9</c:v>
                </c:pt>
                <c:pt idx="40">
                  <c:v>9</c:v>
                </c:pt>
                <c:pt idx="41">
                  <c:v>10</c:v>
                </c:pt>
                <c:pt idx="42">
                  <c:v>10</c:v>
                </c:pt>
                <c:pt idx="43">
                  <c:v>13</c:v>
                </c:pt>
                <c:pt idx="44">
                  <c:v>13</c:v>
                </c:pt>
                <c:pt idx="45">
                  <c:v>14</c:v>
                </c:pt>
                <c:pt idx="46">
                  <c:v>15</c:v>
                </c:pt>
                <c:pt idx="47">
                  <c:v>16</c:v>
                </c:pt>
                <c:pt idx="48">
                  <c:v>18</c:v>
                </c:pt>
                <c:pt idx="49">
                  <c:v>21</c:v>
                </c:pt>
                <c:pt idx="50">
                  <c:v>22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32</c:v>
                </c:pt>
                <c:pt idx="55">
                  <c:v>35</c:v>
                </c:pt>
                <c:pt idx="56">
                  <c:v>39</c:v>
                </c:pt>
                <c:pt idx="57">
                  <c:v>50</c:v>
                </c:pt>
                <c:pt idx="58">
                  <c:v>53</c:v>
                </c:pt>
                <c:pt idx="59">
                  <c:v>54</c:v>
                </c:pt>
                <c:pt idx="60">
                  <c:v>62</c:v>
                </c:pt>
                <c:pt idx="61">
                  <c:v>65</c:v>
                </c:pt>
                <c:pt idx="62">
                  <c:v>67</c:v>
                </c:pt>
                <c:pt idx="63">
                  <c:v>105</c:v>
                </c:pt>
                <c:pt idx="6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2-49ED-B1BA-4B4D283C0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0741368"/>
        <c:axId val="620736888"/>
        <c:axId val="0"/>
      </c:bar3DChart>
      <c:catAx>
        <c:axId val="620741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36888"/>
        <c:crosses val="autoZero"/>
        <c:auto val="1"/>
        <c:lblAlgn val="ctr"/>
        <c:lblOffset val="100"/>
        <c:noMultiLvlLbl val="0"/>
      </c:catAx>
      <c:valAx>
        <c:axId val="62073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4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[AKM1_Part1_Mastered_Data.xlsx]Part_C_NumberBySector!PivotTable4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 of Event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Part_C_NumberBySector!$B$1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Part_C_NumberBySector!$A$2:$A$20</c:f>
              <c:strCache>
                <c:ptCount val="18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E</c:v>
                </c:pt>
                <c:pt idx="4">
                  <c:v>F</c:v>
                </c:pt>
                <c:pt idx="5">
                  <c:v>G</c:v>
                </c:pt>
                <c:pt idx="6">
                  <c:v>H</c:v>
                </c:pt>
                <c:pt idx="7">
                  <c:v>J</c:v>
                </c:pt>
                <c:pt idx="8">
                  <c:v>K</c:v>
                </c:pt>
                <c:pt idx="9">
                  <c:v>L</c:v>
                </c:pt>
                <c:pt idx="10">
                  <c:v>M</c:v>
                </c:pt>
                <c:pt idx="11">
                  <c:v>N</c:v>
                </c:pt>
                <c:pt idx="12">
                  <c:v>O</c:v>
                </c:pt>
                <c:pt idx="13">
                  <c:v>Q</c:v>
                </c:pt>
                <c:pt idx="14">
                  <c:v>R</c:v>
                </c:pt>
                <c:pt idx="15">
                  <c:v>S</c:v>
                </c:pt>
                <c:pt idx="16">
                  <c:v>U</c:v>
                </c:pt>
                <c:pt idx="17">
                  <c:v>W</c:v>
                </c:pt>
              </c:strCache>
            </c:strRef>
          </c:cat>
          <c:val>
            <c:numRef>
              <c:f>Part_C_NumberBySector!$B$2:$B$20</c:f>
              <c:numCache>
                <c:formatCode>General</c:formatCode>
                <c:ptCount val="18"/>
                <c:pt idx="0">
                  <c:v>83</c:v>
                </c:pt>
                <c:pt idx="1">
                  <c:v>44</c:v>
                </c:pt>
                <c:pt idx="2">
                  <c:v>60</c:v>
                </c:pt>
                <c:pt idx="3">
                  <c:v>86</c:v>
                </c:pt>
                <c:pt idx="4">
                  <c:v>35</c:v>
                </c:pt>
                <c:pt idx="5">
                  <c:v>39</c:v>
                </c:pt>
                <c:pt idx="6">
                  <c:v>125</c:v>
                </c:pt>
                <c:pt idx="7">
                  <c:v>41</c:v>
                </c:pt>
                <c:pt idx="8">
                  <c:v>64</c:v>
                </c:pt>
                <c:pt idx="9">
                  <c:v>38</c:v>
                </c:pt>
                <c:pt idx="10">
                  <c:v>91</c:v>
                </c:pt>
                <c:pt idx="11">
                  <c:v>53</c:v>
                </c:pt>
                <c:pt idx="12">
                  <c:v>31</c:v>
                </c:pt>
                <c:pt idx="13">
                  <c:v>62</c:v>
                </c:pt>
                <c:pt idx="14">
                  <c:v>60</c:v>
                </c:pt>
                <c:pt idx="15">
                  <c:v>44</c:v>
                </c:pt>
                <c:pt idx="16">
                  <c:v>52</c:v>
                </c:pt>
                <c:pt idx="1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7-4675-A09C-BC8D60D3F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755536"/>
        <c:axId val="707753616"/>
        <c:axId val="0"/>
      </c:bar3DChart>
      <c:catAx>
        <c:axId val="70775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53616"/>
        <c:crosses val="autoZero"/>
        <c:auto val="1"/>
        <c:lblAlgn val="ctr"/>
        <c:lblOffset val="100"/>
        <c:noMultiLvlLbl val="0"/>
      </c:catAx>
      <c:valAx>
        <c:axId val="70775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5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RegressionAnalysis!$C$15</c:f>
              <c:strCache>
                <c:ptCount val="1"/>
                <c:pt idx="0">
                  <c:v>Officers at Scene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67899652078399"/>
                  <c:y val="-9.14582574099702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RegressionAnalysis!$B$16:$B$35</c:f>
              <c:numCache>
                <c:formatCode>General</c:formatCode>
                <c:ptCount val="20"/>
                <c:pt idx="0">
                  <c:v>83</c:v>
                </c:pt>
                <c:pt idx="1">
                  <c:v>37</c:v>
                </c:pt>
                <c:pt idx="2">
                  <c:v>64</c:v>
                </c:pt>
                <c:pt idx="3">
                  <c:v>60</c:v>
                </c:pt>
                <c:pt idx="4">
                  <c:v>31</c:v>
                </c:pt>
                <c:pt idx="5">
                  <c:v>52</c:v>
                </c:pt>
                <c:pt idx="6">
                  <c:v>60</c:v>
                </c:pt>
                <c:pt idx="7">
                  <c:v>44</c:v>
                </c:pt>
                <c:pt idx="8">
                  <c:v>41</c:v>
                </c:pt>
                <c:pt idx="9">
                  <c:v>62</c:v>
                </c:pt>
                <c:pt idx="10">
                  <c:v>38</c:v>
                </c:pt>
                <c:pt idx="11">
                  <c:v>44</c:v>
                </c:pt>
                <c:pt idx="12">
                  <c:v>91</c:v>
                </c:pt>
                <c:pt idx="13">
                  <c:v>53</c:v>
                </c:pt>
                <c:pt idx="14">
                  <c:v>35</c:v>
                </c:pt>
                <c:pt idx="15">
                  <c:v>39</c:v>
                </c:pt>
                <c:pt idx="16">
                  <c:v>86</c:v>
                </c:pt>
              </c:numCache>
            </c:numRef>
          </c:xVal>
          <c:yVal>
            <c:numRef>
              <c:f>RegressionAnalysis!$C$16:$C$35</c:f>
              <c:numCache>
                <c:formatCode>General</c:formatCode>
                <c:ptCount val="20"/>
                <c:pt idx="0">
                  <c:v>158</c:v>
                </c:pt>
                <c:pt idx="1">
                  <c:v>86</c:v>
                </c:pt>
                <c:pt idx="2">
                  <c:v>131</c:v>
                </c:pt>
                <c:pt idx="3">
                  <c:v>121</c:v>
                </c:pt>
                <c:pt idx="4">
                  <c:v>72</c:v>
                </c:pt>
                <c:pt idx="5">
                  <c:v>96</c:v>
                </c:pt>
                <c:pt idx="6">
                  <c:v>124</c:v>
                </c:pt>
                <c:pt idx="7">
                  <c:v>82</c:v>
                </c:pt>
                <c:pt idx="8">
                  <c:v>77</c:v>
                </c:pt>
                <c:pt idx="9">
                  <c:v>120</c:v>
                </c:pt>
                <c:pt idx="10">
                  <c:v>72</c:v>
                </c:pt>
                <c:pt idx="11">
                  <c:v>76</c:v>
                </c:pt>
                <c:pt idx="12">
                  <c:v>176</c:v>
                </c:pt>
                <c:pt idx="13">
                  <c:v>117</c:v>
                </c:pt>
                <c:pt idx="14">
                  <c:v>68</c:v>
                </c:pt>
                <c:pt idx="15">
                  <c:v>76</c:v>
                </c:pt>
                <c:pt idx="16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7A-46D9-A6DC-62DEA058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17392"/>
        <c:axId val="985264736"/>
      </c:scatterChart>
      <c:valAx>
        <c:axId val="97701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4736"/>
        <c:crosses val="autoZero"/>
        <c:crossBetween val="midCat"/>
      </c:valAx>
      <c:valAx>
        <c:axId val="9852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Officers at Scene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726689466846968E-2"/>
          <c:y val="0.11211498883246949"/>
          <c:w val="0.83979532861422623"/>
          <c:h val="0.8453957647812161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RegressionAnalysis!$B$16:$B$32</c:f>
              <c:numCache>
                <c:formatCode>General</c:formatCode>
                <c:ptCount val="17"/>
                <c:pt idx="0">
                  <c:v>83</c:v>
                </c:pt>
                <c:pt idx="1">
                  <c:v>37</c:v>
                </c:pt>
                <c:pt idx="2">
                  <c:v>64</c:v>
                </c:pt>
                <c:pt idx="3">
                  <c:v>60</c:v>
                </c:pt>
                <c:pt idx="4">
                  <c:v>31</c:v>
                </c:pt>
                <c:pt idx="5">
                  <c:v>52</c:v>
                </c:pt>
                <c:pt idx="6">
                  <c:v>60</c:v>
                </c:pt>
                <c:pt idx="7">
                  <c:v>44</c:v>
                </c:pt>
                <c:pt idx="8">
                  <c:v>41</c:v>
                </c:pt>
                <c:pt idx="9">
                  <c:v>62</c:v>
                </c:pt>
                <c:pt idx="10">
                  <c:v>38</c:v>
                </c:pt>
                <c:pt idx="11">
                  <c:v>44</c:v>
                </c:pt>
                <c:pt idx="12">
                  <c:v>91</c:v>
                </c:pt>
                <c:pt idx="13">
                  <c:v>53</c:v>
                </c:pt>
                <c:pt idx="14">
                  <c:v>35</c:v>
                </c:pt>
                <c:pt idx="15">
                  <c:v>39</c:v>
                </c:pt>
                <c:pt idx="16">
                  <c:v>86</c:v>
                </c:pt>
              </c:numCache>
            </c:numRef>
          </c:xVal>
          <c:yVal>
            <c:numRef>
              <c:f>RegressionAnalysis!$C$67:$C$84</c:f>
              <c:numCache>
                <c:formatCode>General</c:formatCode>
                <c:ptCount val="18"/>
                <c:pt idx="0">
                  <c:v>14.195830464925933</c:v>
                </c:pt>
                <c:pt idx="1">
                  <c:v>-36.189363674307913</c:v>
                </c:pt>
                <c:pt idx="2">
                  <c:v>5.0462811888487096</c:v>
                </c:pt>
                <c:pt idx="3">
                  <c:v>13.155799242198384</c:v>
                </c:pt>
                <c:pt idx="4">
                  <c:v>8.6210558268873285</c:v>
                </c:pt>
                <c:pt idx="5">
                  <c:v>-0.7558339341178737</c:v>
                </c:pt>
                <c:pt idx="6">
                  <c:v>-5.4484310037348109</c:v>
                </c:pt>
                <c:pt idx="7">
                  <c:v>11.621055826887329</c:v>
                </c:pt>
                <c:pt idx="8">
                  <c:v>-8.517917834356922</c:v>
                </c:pt>
                <c:pt idx="9">
                  <c:v>-9.4189753958402207</c:v>
                </c:pt>
                <c:pt idx="10">
                  <c:v>4.8884275345428563</c:v>
                </c:pt>
                <c:pt idx="11">
                  <c:v>-10.320032957323519</c:v>
                </c:pt>
                <c:pt idx="12">
                  <c:v>-14.517917834356922</c:v>
                </c:pt>
                <c:pt idx="13">
                  <c:v>21.265317295548073</c:v>
                </c:pt>
                <c:pt idx="14">
                  <c:v>14.18525485009296</c:v>
                </c:pt>
                <c:pt idx="15">
                  <c:v>-10.221090518806818</c:v>
                </c:pt>
                <c:pt idx="16">
                  <c:v>-7.6863471034957627</c:v>
                </c:pt>
                <c:pt idx="17">
                  <c:v>10.096888026409232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95-4020-9553-3C9E5F3B4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308600"/>
        <c:axId val="591308920"/>
      </c:scatterChart>
      <c:valAx>
        <c:axId val="591308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1308920"/>
        <c:crosses val="autoZero"/>
        <c:crossBetween val="midCat"/>
      </c:valAx>
      <c:valAx>
        <c:axId val="591308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913086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OriginalRegression!$C$1</c:f>
              <c:strCache>
                <c:ptCount val="1"/>
                <c:pt idx="0">
                  <c:v>Officers at Scene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067899652078399"/>
                  <c:y val="-9.14582574099702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OriginalRegression!$B$2:$B$23</c:f>
              <c:numCache>
                <c:formatCode>General</c:formatCode>
                <c:ptCount val="22"/>
                <c:pt idx="0">
                  <c:v>83</c:v>
                </c:pt>
                <c:pt idx="1">
                  <c:v>125</c:v>
                </c:pt>
                <c:pt idx="2">
                  <c:v>37</c:v>
                </c:pt>
                <c:pt idx="3">
                  <c:v>64</c:v>
                </c:pt>
                <c:pt idx="4">
                  <c:v>60</c:v>
                </c:pt>
                <c:pt idx="5">
                  <c:v>31</c:v>
                </c:pt>
                <c:pt idx="6">
                  <c:v>52</c:v>
                </c:pt>
                <c:pt idx="7">
                  <c:v>60</c:v>
                </c:pt>
                <c:pt idx="8">
                  <c:v>44</c:v>
                </c:pt>
                <c:pt idx="9">
                  <c:v>1</c:v>
                </c:pt>
                <c:pt idx="10">
                  <c:v>41</c:v>
                </c:pt>
                <c:pt idx="11">
                  <c:v>62</c:v>
                </c:pt>
                <c:pt idx="12">
                  <c:v>38</c:v>
                </c:pt>
                <c:pt idx="13">
                  <c:v>44</c:v>
                </c:pt>
                <c:pt idx="14">
                  <c:v>91</c:v>
                </c:pt>
                <c:pt idx="15">
                  <c:v>53</c:v>
                </c:pt>
                <c:pt idx="16">
                  <c:v>35</c:v>
                </c:pt>
                <c:pt idx="17">
                  <c:v>39</c:v>
                </c:pt>
                <c:pt idx="18">
                  <c:v>86</c:v>
                </c:pt>
              </c:numCache>
            </c:numRef>
          </c:xVal>
          <c:yVal>
            <c:numRef>
              <c:f>OriginalRegression!$C$2:$C$23</c:f>
              <c:numCache>
                <c:formatCode>General</c:formatCode>
                <c:ptCount val="22"/>
                <c:pt idx="0">
                  <c:v>158</c:v>
                </c:pt>
                <c:pt idx="1">
                  <c:v>165</c:v>
                </c:pt>
                <c:pt idx="2">
                  <c:v>86</c:v>
                </c:pt>
                <c:pt idx="3">
                  <c:v>131</c:v>
                </c:pt>
                <c:pt idx="4">
                  <c:v>121</c:v>
                </c:pt>
                <c:pt idx="5">
                  <c:v>72</c:v>
                </c:pt>
                <c:pt idx="6">
                  <c:v>96</c:v>
                </c:pt>
                <c:pt idx="7">
                  <c:v>124</c:v>
                </c:pt>
                <c:pt idx="8">
                  <c:v>82</c:v>
                </c:pt>
                <c:pt idx="9">
                  <c:v>1</c:v>
                </c:pt>
                <c:pt idx="10">
                  <c:v>77</c:v>
                </c:pt>
                <c:pt idx="11">
                  <c:v>120</c:v>
                </c:pt>
                <c:pt idx="12">
                  <c:v>72</c:v>
                </c:pt>
                <c:pt idx="13">
                  <c:v>76</c:v>
                </c:pt>
                <c:pt idx="14">
                  <c:v>176</c:v>
                </c:pt>
                <c:pt idx="15">
                  <c:v>117</c:v>
                </c:pt>
                <c:pt idx="16">
                  <c:v>68</c:v>
                </c:pt>
                <c:pt idx="17">
                  <c:v>76</c:v>
                </c:pt>
                <c:pt idx="18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BB-4E0C-B4AE-556A0EC6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17392"/>
        <c:axId val="985264736"/>
      </c:scatterChart>
      <c:valAx>
        <c:axId val="97701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Incidents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264736"/>
        <c:crosses val="autoZero"/>
        <c:crossBetween val="midCat"/>
      </c:valAx>
      <c:valAx>
        <c:axId val="98526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Officers at Scene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1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0</xdr:row>
      <xdr:rowOff>4762</xdr:rowOff>
    </xdr:from>
    <xdr:to>
      <xdr:col>9</xdr:col>
      <xdr:colOff>800099</xdr:colOff>
      <xdr:row>15</xdr:row>
      <xdr:rowOff>171451</xdr:rowOff>
    </xdr:to>
    <xdr:graphicFrame macro="">
      <xdr:nvGraphicFramePr>
        <xdr:cNvPr id="2" name="Number of Events by Date">
          <a:extLst>
            <a:ext uri="{FF2B5EF4-FFF2-40B4-BE49-F238E27FC236}">
              <a16:creationId xmlns:a16="http://schemas.microsoft.com/office/drawing/2014/main" id="{35E728DE-F0EF-4B84-8A9A-033A7346D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33337</xdr:rowOff>
    </xdr:from>
    <xdr:to>
      <xdr:col>10</xdr:col>
      <xdr:colOff>642937</xdr:colOff>
      <xdr:row>97</xdr:row>
      <xdr:rowOff>0</xdr:rowOff>
    </xdr:to>
    <xdr:graphicFrame macro="">
      <xdr:nvGraphicFramePr>
        <xdr:cNvPr id="2" name="Number of Events by Type">
          <a:extLst>
            <a:ext uri="{FF2B5EF4-FFF2-40B4-BE49-F238E27FC236}">
              <a16:creationId xmlns:a16="http://schemas.microsoft.com/office/drawing/2014/main" id="{ADA5432C-FB54-4977-B554-D100A220A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</xdr:colOff>
      <xdr:row>0</xdr:row>
      <xdr:rowOff>16670</xdr:rowOff>
    </xdr:from>
    <xdr:to>
      <xdr:col>13</xdr:col>
      <xdr:colOff>733426</xdr:colOff>
      <xdr:row>22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83F4F-3CFE-4990-90F4-522FAAB0E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26261</xdr:colOff>
      <xdr:row>14</xdr:row>
      <xdr:rowOff>0</xdr:rowOff>
    </xdr:from>
    <xdr:to>
      <xdr:col>16</xdr:col>
      <xdr:colOff>312011</xdr:colOff>
      <xdr:row>42</xdr:row>
      <xdr:rowOff>7619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BCA17-BA3A-41BC-8E65-AE28A73C1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9</xdr:row>
      <xdr:rowOff>9525</xdr:rowOff>
    </xdr:from>
    <xdr:to>
      <xdr:col>1</xdr:col>
      <xdr:colOff>928688</xdr:colOff>
      <xdr:row>12</xdr:row>
      <xdr:rowOff>4763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716BAE9-A888-4389-BF98-FA2DDE8A1DD0}"/>
            </a:ext>
          </a:extLst>
        </xdr:cNvPr>
        <xdr:cNvSpPr/>
      </xdr:nvSpPr>
      <xdr:spPr>
        <a:xfrm>
          <a:off x="4763" y="8358188"/>
          <a:ext cx="2105025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</xdr:colOff>
      <xdr:row>60</xdr:row>
      <xdr:rowOff>142875</xdr:rowOff>
    </xdr:from>
    <xdr:to>
      <xdr:col>8</xdr:col>
      <xdr:colOff>828674</xdr:colOff>
      <xdr:row>78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C1E9CE-5FEA-4884-B6F2-89F523A0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21498</xdr:colOff>
      <xdr:row>0</xdr:row>
      <xdr:rowOff>29936</xdr:rowOff>
    </xdr:from>
    <xdr:to>
      <xdr:col>16</xdr:col>
      <xdr:colOff>590549</xdr:colOff>
      <xdr:row>30</xdr:row>
      <xdr:rowOff>37555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BED26-F84F-4F22-ADC9-3701C2F1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Perkins" refreshedDate="44075.868731365743" createdVersion="6" refreshedVersion="6" minRefreshableVersion="3" recordCount="1045" xr:uid="{D299D845-4456-4CB0-8701-122ADAA39D7B}">
  <cacheSource type="worksheet">
    <worksheetSource ref="A1:E1046" sheet="Part_A_Police_DepartMastered"/>
  </cacheSource>
  <cacheFields count="5">
    <cacheField name="CAD CDW ID" numFmtId="0">
      <sharedItems containsSemiMixedTypes="0" containsString="0" containsNumber="1" containsInteger="1" minValue="1702311" maxValue="1703382"/>
    </cacheField>
    <cacheField name="Event Clearance Code" numFmtId="0">
      <sharedItems containsSemiMixedTypes="0" containsString="0" containsNumber="1" containsInteger="1" minValue="30" maxValue="470"/>
    </cacheField>
    <cacheField name="Event Clearance Description" numFmtId="0">
      <sharedItems/>
    </cacheField>
    <cacheField name="Event Clearance Date" numFmtId="22">
      <sharedItems containsSemiMixedTypes="0" containsNonDate="0" containsDate="1" containsString="0" minDate="2016-03-26T17:14:00" maxDate="2016-03-28T11:03:00"/>
    </cacheField>
    <cacheField name="District/Sector" numFmtId="0">
      <sharedItems containsBlank="1" count="20">
        <s v="R"/>
        <s v="G"/>
        <s v="O"/>
        <s v="Q"/>
        <s v="S"/>
        <s v="C"/>
        <s v="K"/>
        <s v="E"/>
        <s v="J"/>
        <s v="W"/>
        <s v="M"/>
        <s v="H"/>
        <s v="B"/>
        <s v="D"/>
        <s v="U"/>
        <s v="F"/>
        <s v="L"/>
        <s v="N"/>
        <m u="1"/>
        <s v="Unknow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Perkins" refreshedDate="44075.868731481482" createdVersion="6" refreshedVersion="6" minRefreshableVersion="3" recordCount="1045" xr:uid="{048F2226-08F6-42BD-8D1A-96F33EACDDC3}">
  <cacheSource type="worksheet">
    <worksheetSource ref="A1:C1046" sheet="Part_A_Police_DepartMastered"/>
  </cacheSource>
  <cacheFields count="3">
    <cacheField name="CAD CDW ID" numFmtId="0">
      <sharedItems containsSemiMixedTypes="0" containsString="0" containsNumber="1" containsInteger="1" minValue="1702311" maxValue="1703382"/>
    </cacheField>
    <cacheField name="Event Clearance Code" numFmtId="0">
      <sharedItems containsSemiMixedTypes="0" containsString="0" containsNumber="1" containsInteger="1" minValue="30" maxValue="470"/>
    </cacheField>
    <cacheField name="Event Clearance Description" numFmtId="0">
      <sharedItems count="65">
        <s v="FIGHT DISTURBANCE"/>
        <s v="PARKING VIOLATION (EXCEPT ABANDONED VEHICLES)"/>
        <s v="TRAFFIC (MOVING) VIOLATION"/>
        <s v="SUSPICIOUS PERSON"/>
        <s v="SUSPICIOUS VEHICLE"/>
        <s v="LIQUOR VIOLATION - ADULT"/>
        <s v="DISTURBANCE, OTHER"/>
        <s v="ALACAD - RESIDENTIAL BURGLARY (FALSE)"/>
        <s v="THEFT - MISCELLANEOUS"/>
        <s v="BURGLARY - COMMERCIAL"/>
        <s v="MISCHIEF, NUISANCE COMPLAINTS"/>
        <s v="LIQUOR VIOLATION - INTOXICATED PERSON"/>
        <s v="MISSING PERSON"/>
        <s v="MOTOR VEHICLE COLLISION"/>
        <s v="NARCOTICS, DRUG TRAFFIC LOITERING"/>
        <s v="PROPERTY - FOUND (FOLLOW UP TO SPD CASE)"/>
        <s v="THEFT - CAR PROWL"/>
        <s v="TRESPASS"/>
        <s v="LICENSE PLATE THEFT OR LOSS"/>
        <s v="HARBOR - DEBRIS, NAVIGATIONAL HAZARDS"/>
        <s v="BURGLARY - RESIDENTIAL, OCCUPIED"/>
        <s v="ASSAULTS, OTHER"/>
        <s v="FRAUD (INCLUDING IDENTITY THEFT)"/>
        <s v="HARASSMENT, THREATS"/>
        <s v="ABANDONED VEHICLE"/>
        <s v="AUTO THEFT"/>
        <s v="NARCOTICS, OTHER"/>
        <s v="BURGLARY - UNOCCUPIED STRUCTURE ON RESIDENTIAL PROPERTY"/>
        <s v="SHOPLIFT"/>
        <s v="ALACAD - RESIDENTIAL PANIC (FALSE)"/>
        <s v="PERSON WITH A WEAPON (NOT GUN)"/>
        <s v="CRISIS COMPLAINT - GENERAL"/>
        <s v="ALACAD - COMMERCIAL BURGLARY (FALSE)"/>
        <s v="GANG GRAFFITI"/>
        <s v="ANIMAL NOISE, STRAYS, BITES"/>
        <s v="BURGLARY - RESIDENTIAL, UNOCCUPIED"/>
        <s v="BLOCKING VEHICLE"/>
        <s v="HAZARDS"/>
        <s v="MISDEMEANOR WARRANT SERVICE"/>
        <s v="PROPERTY DESTRUCTION"/>
        <s v="PARKS EXCLUSION"/>
        <s v="DRIVING WHILE UNDER INFLUENCE (DUI)"/>
        <s v="NOISE DISTURBANCE, RESIDENTIAL"/>
        <s v="NOISE DISTURBANCE"/>
        <s v="BICYCLE THEFT"/>
        <s v="MOTORIST ASSIST"/>
        <s v="STRONG ARM ROBBERY"/>
        <s v="ARMED ROBBERY"/>
        <s v="ALACAD - COMMERCIAL PANIC (FALSE)"/>
        <s v="ANIMALS - INJURED, DEAD, DANGEROUS"/>
        <s v="NARCOTICS ACTIVITY REPORT"/>
        <s v="AUTO RECOVERY"/>
        <s v="SUSPICIOUS CIRCUMSTANCES - BUILDING (OPEN DOOR, ETC.)"/>
        <s v="LEWD CONDUCT"/>
        <s v="CASUALTY (NON CRIMINAL/TRAFFIC) - MAN DOWN, SICK PERSONS, INJURED, DOA)"/>
        <s v="MARIJUANA PUBLIC USE (NOT DISPENSARY)"/>
        <s v="PROWLER"/>
        <s v="PEDESTRIAN VIOLATION"/>
        <s v="PROPERTY - MISSING"/>
        <s v="RECKLESS ENDANGERMENT, LITTERING, PARKS CODE VIOLATIONS"/>
        <s v="JUVENILE DISTURBANCE"/>
        <s v="FORGERY, BAD CHECKS"/>
        <s v="CRISIS COMPLAINT - PICK-UP OR TRANSPORT"/>
        <s v="FELONY WARRANT SERVICE"/>
        <s v="NARCOTICS FOUND, RECOVER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Perkins" refreshedDate="44075.868731828705" createdVersion="6" refreshedVersion="6" minRefreshableVersion="3" recordCount="1045" xr:uid="{F5366BE8-9861-4EA1-B2D8-AE70B21124A6}">
  <cacheSource type="worksheet">
    <worksheetSource ref="A1:D1046" sheet="Part_A_Police_DepartMastered"/>
  </cacheSource>
  <cacheFields count="6">
    <cacheField name="CAD CDW ID" numFmtId="0">
      <sharedItems containsSemiMixedTypes="0" containsString="0" containsNumber="1" containsInteger="1" minValue="1702311" maxValue="1703382"/>
    </cacheField>
    <cacheField name="Event Clearance Code" numFmtId="0">
      <sharedItems containsSemiMixedTypes="0" containsString="0" containsNumber="1" containsInteger="1" minValue="30" maxValue="470"/>
    </cacheField>
    <cacheField name="Event Clearance Description" numFmtId="0">
      <sharedItems/>
    </cacheField>
    <cacheField name="Event Clearance Date" numFmtId="22">
      <sharedItems containsSemiMixedTypes="0" containsNonDate="0" containsDate="1" containsString="0" minDate="2016-03-26T17:14:00" maxDate="2016-03-28T11:03:00" count="827">
        <d v="2016-03-26T17:17:00"/>
        <d v="2016-03-26T17:15:00"/>
        <d v="2016-03-26T17:19:00"/>
        <d v="2016-03-26T17:26:00"/>
        <d v="2016-03-26T17:18:00"/>
        <d v="2016-03-26T17:14:00"/>
        <d v="2016-03-26T17:36:00"/>
        <d v="2016-03-26T17:31:00"/>
        <d v="2016-03-26T17:29:00"/>
        <d v="2016-03-26T17:28:00"/>
        <d v="2016-03-26T17:30:00"/>
        <d v="2016-03-26T17:32:00"/>
        <d v="2016-03-26T17:39:00"/>
        <d v="2016-03-26T17:37:00"/>
        <d v="2016-03-26T17:40:00"/>
        <d v="2016-03-26T17:38:00"/>
        <d v="2016-03-26T17:33:00"/>
        <d v="2016-03-26T17:43:00"/>
        <d v="2016-03-26T17:47:00"/>
        <d v="2016-03-26T17:42:00"/>
        <d v="2016-03-26T17:52:00"/>
        <d v="2016-03-26T17:45:00"/>
        <d v="2016-03-26T17:56:00"/>
        <d v="2016-03-26T18:02:00"/>
        <d v="2016-03-26T17:44:00"/>
        <d v="2016-03-26T18:01:00"/>
        <d v="2016-03-26T17:57:00"/>
        <d v="2016-03-26T17:58:00"/>
        <d v="2016-03-26T17:51:00"/>
        <d v="2016-03-26T18:07:00"/>
        <d v="2016-03-26T18:14:00"/>
        <d v="2016-03-26T18:20:00"/>
        <d v="2016-03-26T18:23:00"/>
        <d v="2016-03-26T18:17:00"/>
        <d v="2016-03-26T18:19:00"/>
        <d v="2016-03-26T18:10:00"/>
        <d v="2016-03-26T18:12:00"/>
        <d v="2016-03-26T18:24:00"/>
        <d v="2016-03-26T18:38:00"/>
        <d v="2016-03-26T18:32:00"/>
        <d v="2016-03-26T18:30:00"/>
        <d v="2016-03-26T18:39:00"/>
        <d v="2016-03-26T18:49:00"/>
        <d v="2016-03-26T18:57:00"/>
        <d v="2016-03-26T18:45:00"/>
        <d v="2016-03-26T18:42:00"/>
        <d v="2016-03-26T18:52:00"/>
        <d v="2016-03-26T19:00:00"/>
        <d v="2016-03-26T18:53:00"/>
        <d v="2016-03-26T19:04:00"/>
        <d v="2016-03-26T19:03:00"/>
        <d v="2016-03-26T19:01:00"/>
        <d v="2016-03-26T19:16:00"/>
        <d v="2016-03-26T19:14:00"/>
        <d v="2016-03-26T19:12:00"/>
        <d v="2016-03-26T19:15:00"/>
        <d v="2016-03-26T19:28:00"/>
        <d v="2016-03-26T19:22:00"/>
        <d v="2016-03-26T19:23:00"/>
        <d v="2016-03-26T19:25:00"/>
        <d v="2016-03-26T19:29:00"/>
        <d v="2016-03-26T19:20:00"/>
        <d v="2016-03-26T19:32:00"/>
        <d v="2016-03-26T19:39:00"/>
        <d v="2016-03-26T19:38:00"/>
        <d v="2016-03-26T19:31:00"/>
        <d v="2016-03-26T19:33:00"/>
        <d v="2016-03-26T19:37:00"/>
        <d v="2016-03-26T19:40:00"/>
        <d v="2016-03-26T19:34:00"/>
        <d v="2016-03-26T20:06:00"/>
        <d v="2016-03-26T19:44:00"/>
        <d v="2016-03-26T19:55:00"/>
        <d v="2016-03-26T20:07:00"/>
        <d v="2016-03-26T19:56:00"/>
        <d v="2016-03-26T19:45:00"/>
        <d v="2016-03-26T20:03:00"/>
        <d v="2016-03-26T19:42:00"/>
        <d v="2016-03-26T19:59:00"/>
        <d v="2016-03-26T19:41:00"/>
        <d v="2016-03-26T19:43:00"/>
        <d v="2016-03-26T19:46:00"/>
        <d v="2016-03-26T20:08:00"/>
        <d v="2016-03-26T20:09:00"/>
        <d v="2016-03-26T20:25:00"/>
        <d v="2016-03-26T20:13:00"/>
        <d v="2016-03-26T20:15:00"/>
        <d v="2016-03-26T20:20:00"/>
        <d v="2016-03-26T20:10:00"/>
        <d v="2016-03-26T20:11:00"/>
        <d v="2016-03-26T20:21:00"/>
        <d v="2016-03-26T20:30:00"/>
        <d v="2016-03-26T20:35:00"/>
        <d v="2016-03-26T20:23:00"/>
        <d v="2016-03-26T20:36:00"/>
        <d v="2016-03-26T20:42:00"/>
        <d v="2016-03-26T20:32:00"/>
        <d v="2016-03-26T20:34:00"/>
        <d v="2016-03-26T20:33:00"/>
        <d v="2016-03-26T20:48:00"/>
        <d v="2016-03-26T20:40:00"/>
        <d v="2016-03-26T20:50:00"/>
        <d v="2016-03-26T20:55:00"/>
        <d v="2016-03-26T20:54:00"/>
        <d v="2016-03-26T21:15:00"/>
        <d v="2016-03-26T21:00:00"/>
        <d v="2016-03-26T21:02:00"/>
        <d v="2016-03-26T21:06:00"/>
        <d v="2016-03-26T21:13:00"/>
        <d v="2016-03-26T21:20:00"/>
        <d v="2016-03-26T21:18:00"/>
        <d v="2016-03-26T21:22:00"/>
        <d v="2016-03-26T21:26:00"/>
        <d v="2016-03-26T21:21:00"/>
        <d v="2016-03-26T21:27:00"/>
        <d v="2016-03-26T21:23:00"/>
        <d v="2016-03-26T21:30:00"/>
        <d v="2016-03-26T21:39:00"/>
        <d v="2016-03-26T21:37:00"/>
        <d v="2016-03-26T21:46:00"/>
        <d v="2016-03-26T21:35:00"/>
        <d v="2016-03-26T21:55:00"/>
        <d v="2016-03-26T21:41:00"/>
        <d v="2016-03-26T21:40:00"/>
        <d v="2016-03-26T22:09:00"/>
        <d v="2016-03-26T22:10:00"/>
        <d v="2016-03-26T21:59:00"/>
        <d v="2016-03-26T21:52:00"/>
        <d v="2016-03-26T21:56:00"/>
        <d v="2016-03-26T22:33:00"/>
        <d v="2016-03-26T22:42:00"/>
        <d v="2016-03-26T22:26:00"/>
        <d v="2016-03-26T22:40:00"/>
        <d v="2016-03-26T22:15:00"/>
        <d v="2016-03-26T22:16:00"/>
        <d v="2016-03-26T22:21:00"/>
        <d v="2016-03-26T22:25:00"/>
        <d v="2016-03-26T22:23:00"/>
        <d v="2016-03-26T22:13:00"/>
        <d v="2016-03-26T22:53:00"/>
        <d v="2016-03-26T22:20:00"/>
        <d v="2016-03-26T22:18:00"/>
        <d v="2016-03-26T22:58:00"/>
        <d v="2016-03-26T22:55:00"/>
        <d v="2016-03-26T22:49:00"/>
        <d v="2016-03-26T22:57:00"/>
        <d v="2016-03-26T23:00:00"/>
        <d v="2016-03-26T22:59:00"/>
        <d v="2016-03-26T22:44:00"/>
        <d v="2016-03-26T22:35:00"/>
        <d v="2016-03-26T23:12:00"/>
        <d v="2016-03-26T23:16:00"/>
        <d v="2016-03-26T23:23:00"/>
        <d v="2016-03-26T23:11:00"/>
        <d v="2016-03-26T23:19:00"/>
        <d v="2016-03-26T23:03:00"/>
        <d v="2016-03-26T23:18:00"/>
        <d v="2016-03-26T23:01:00"/>
        <d v="2016-03-26T23:15:00"/>
        <d v="2016-03-26T23:06:00"/>
        <d v="2016-03-26T23:27:00"/>
        <d v="2016-03-26T23:33:00"/>
        <d v="2016-03-26T23:20:00"/>
        <d v="2016-03-26T23:31:00"/>
        <d v="2016-03-26T23:38:00"/>
        <d v="2016-03-27T00:03:00"/>
        <d v="2016-03-26T23:53:00"/>
        <d v="2016-03-26T23:58:00"/>
        <d v="2016-03-26T23:47:00"/>
        <d v="2016-03-26T23:57:00"/>
        <d v="2016-03-26T22:32:00"/>
        <d v="2016-03-26T23:42:00"/>
        <d v="2016-03-26T23:46:00"/>
        <d v="2016-03-26T23:44:00"/>
        <d v="2016-03-26T23:52:00"/>
        <d v="2016-03-27T00:08:00"/>
        <d v="2016-03-27T00:12:00"/>
        <d v="2016-03-27T00:04:00"/>
        <d v="2016-03-27T00:26:00"/>
        <d v="2016-03-27T00:20:00"/>
        <d v="2016-03-27T00:17:00"/>
        <d v="2016-03-27T00:10:00"/>
        <d v="2016-03-27T00:41:00"/>
        <d v="2016-03-27T00:27:00"/>
        <d v="2016-03-27T00:36:00"/>
        <d v="2016-03-27T00:39:00"/>
        <d v="2016-03-27T00:22:00"/>
        <d v="2016-03-27T00:47:00"/>
        <d v="2016-03-27T00:49:00"/>
        <d v="2016-03-27T00:30:00"/>
        <d v="2016-03-27T00:28:00"/>
        <d v="2016-03-27T00:38:00"/>
        <d v="2016-03-27T00:32:00"/>
        <d v="2016-03-27T00:52:00"/>
        <d v="2016-03-27T00:43:00"/>
        <d v="2016-03-27T01:02:00"/>
        <d v="2016-03-27T00:56:00"/>
        <d v="2016-03-27T00:59:00"/>
        <d v="2016-03-27T01:00:00"/>
        <d v="2016-03-27T00:54:00"/>
        <d v="2016-03-27T00:53:00"/>
        <d v="2016-03-27T01:07:00"/>
        <d v="2016-03-27T01:01:00"/>
        <d v="2016-03-27T00:31:00"/>
        <d v="2016-03-27T01:03:00"/>
        <d v="2016-03-27T01:17:00"/>
        <d v="2016-03-27T01:15:00"/>
        <d v="2016-03-27T01:22:00"/>
        <d v="2016-03-27T01:35:00"/>
        <d v="2016-03-27T01:27:00"/>
        <d v="2016-03-27T01:26:00"/>
        <d v="2016-03-27T01:29:00"/>
        <d v="2016-03-27T01:25:00"/>
        <d v="2016-03-27T01:31:00"/>
        <d v="2016-03-27T01:52:00"/>
        <d v="2016-03-27T01:45:00"/>
        <d v="2016-03-27T01:54:00"/>
        <d v="2016-03-27T01:40:00"/>
        <d v="2016-03-27T01:56:00"/>
        <d v="2016-03-27T01:37:00"/>
        <d v="2016-03-27T01:46:00"/>
        <d v="2016-03-27T01:42:00"/>
        <d v="2016-03-27T01:41:00"/>
        <d v="2016-03-27T02:13:00"/>
        <d v="2016-03-27T02:10:00"/>
        <d v="2016-03-27T02:05:00"/>
        <d v="2016-03-27T02:04:00"/>
        <d v="2016-03-27T01:53:00"/>
        <d v="2016-03-27T02:03:00"/>
        <d v="2016-03-27T02:07:00"/>
        <d v="2016-03-27T02:15:00"/>
        <d v="2016-03-27T02:24:00"/>
        <d v="2016-03-27T02:21:00"/>
        <d v="2016-03-27T02:28:00"/>
        <d v="2016-03-27T02:22:00"/>
        <d v="2016-03-27T02:44:00"/>
        <d v="2016-03-27T02:46:00"/>
        <d v="2016-03-27T02:35:00"/>
        <d v="2016-03-27T02:38:00"/>
        <d v="2016-03-27T02:32:00"/>
        <d v="2016-03-27T02:41:00"/>
        <d v="2016-03-27T02:55:00"/>
        <d v="2016-03-27T02:45:00"/>
        <d v="2016-03-27T02:52:00"/>
        <d v="2016-03-27T03:07:00"/>
        <d v="2016-03-27T03:04:00"/>
        <d v="2016-03-27T03:01:00"/>
        <d v="2016-03-27T03:22:00"/>
        <d v="2016-03-27T03:18:00"/>
        <d v="2016-03-27T03:11:00"/>
        <d v="2016-03-27T03:26:00"/>
        <d v="2016-03-27T03:20:00"/>
        <d v="2016-03-27T03:27:00"/>
        <d v="2016-03-27T03:24:00"/>
        <d v="2016-03-27T03:39:00"/>
        <d v="2016-03-27T03:32:00"/>
        <d v="2016-03-27T03:36:00"/>
        <d v="2016-03-27T03:49:00"/>
        <d v="2016-03-27T03:46:00"/>
        <d v="2016-03-27T03:43:00"/>
        <d v="2016-03-27T03:47:00"/>
        <d v="2016-03-27T03:44:00"/>
        <d v="2016-03-27T03:42:00"/>
        <d v="2016-03-27T03:56:00"/>
        <d v="2016-03-27T03:58:00"/>
        <d v="2016-03-27T03:59:00"/>
        <d v="2016-03-27T03:51:00"/>
        <d v="2016-03-27T04:12:00"/>
        <d v="2016-03-27T04:09:00"/>
        <d v="2016-03-27T04:06:00"/>
        <d v="2016-03-27T04:13:00"/>
        <d v="2016-03-27T04:18:00"/>
        <d v="2016-03-27T04:10:00"/>
        <d v="2016-03-27T04:28:00"/>
        <d v="2016-03-27T04:30:00"/>
        <d v="2016-03-27T04:37:00"/>
        <d v="2016-03-27T04:35:00"/>
        <d v="2016-03-27T04:48:00"/>
        <d v="2016-03-27T04:58:00"/>
        <d v="2016-03-27T04:56:00"/>
        <d v="2016-03-27T05:04:00"/>
        <d v="2016-03-27T04:57:00"/>
        <d v="2016-03-27T04:59:00"/>
        <d v="2016-03-27T05:15:00"/>
        <d v="2016-03-27T05:09:00"/>
        <d v="2016-03-27T05:08:00"/>
        <d v="2016-03-27T05:05:00"/>
        <d v="2016-03-27T05:01:00"/>
        <d v="2016-03-27T05:12:00"/>
        <d v="2016-03-27T05:21:00"/>
        <d v="2016-03-27T05:25:00"/>
        <d v="2016-03-27T05:24:00"/>
        <d v="2016-03-27T05:47:00"/>
        <d v="2016-03-27T05:44:00"/>
        <d v="2016-03-27T05:56:00"/>
        <d v="2016-03-27T05:50:00"/>
        <d v="2016-03-27T05:34:00"/>
        <d v="2016-03-27T05:35:00"/>
        <d v="2016-03-27T05:36:00"/>
        <d v="2016-03-27T05:32:00"/>
        <d v="2016-03-27T06:11:00"/>
        <d v="2016-03-27T05:54:00"/>
        <d v="2016-03-27T06:17:00"/>
        <d v="2016-03-27T06:20:00"/>
        <d v="2016-03-27T06:02:00"/>
        <d v="2016-03-27T06:26:00"/>
        <d v="2016-03-27T06:28:00"/>
        <d v="2016-03-27T06:43:00"/>
        <d v="2016-03-27T06:31:00"/>
        <d v="2016-03-27T06:45:00"/>
        <d v="2016-03-27T06:35:00"/>
        <d v="2016-03-27T06:30:00"/>
        <d v="2016-03-27T06:50:00"/>
        <d v="2016-03-27T06:53:00"/>
        <d v="2016-03-27T07:02:00"/>
        <d v="2016-03-27T07:04:00"/>
        <d v="2016-03-27T07:03:00"/>
        <d v="2016-03-27T07:21:00"/>
        <d v="2016-03-27T07:19:00"/>
        <d v="2016-03-27T07:33:00"/>
        <d v="2016-03-27T07:35:00"/>
        <d v="2016-03-27T07:46:00"/>
        <d v="2016-03-27T07:43:00"/>
        <d v="2016-03-27T07:57:00"/>
        <d v="2016-03-27T07:54:00"/>
        <d v="2016-03-27T08:14:00"/>
        <d v="2016-03-27T08:02:00"/>
        <d v="2016-03-27T08:28:00"/>
        <d v="2016-03-27T08:26:00"/>
        <d v="2016-03-27T08:31:00"/>
        <d v="2016-03-27T08:30:00"/>
        <d v="2016-03-27T08:35:00"/>
        <d v="2016-03-27T08:53:00"/>
        <d v="2016-03-27T08:52:00"/>
        <d v="2016-03-27T08:49:00"/>
        <d v="2016-03-27T08:59:00"/>
        <d v="2016-03-27T09:00:00"/>
        <d v="2016-03-27T08:58:00"/>
        <d v="2016-03-27T09:08:00"/>
        <d v="2016-03-27T09:13:00"/>
        <d v="2016-03-27T09:24:00"/>
        <d v="2016-03-27T09:16:00"/>
        <d v="2016-03-27T09:10:00"/>
        <d v="2016-03-27T09:25:00"/>
        <d v="2016-03-27T09:28:00"/>
        <d v="2016-03-27T09:29:00"/>
        <d v="2016-03-27T09:35:00"/>
        <d v="2016-03-27T09:37:00"/>
        <d v="2016-03-27T09:34:00"/>
        <d v="2016-03-27T09:49:00"/>
        <d v="2016-03-27T09:55:00"/>
        <d v="2016-03-27T10:07:00"/>
        <d v="2016-03-27T10:05:00"/>
        <d v="2016-03-27T10:04:00"/>
        <d v="2016-03-27T10:15:00"/>
        <d v="2016-03-27T10:21:00"/>
        <d v="2016-03-27T10:19:00"/>
        <d v="2016-03-27T10:23:00"/>
        <d v="2016-03-27T10:18:00"/>
        <d v="2016-03-27T10:14:00"/>
        <d v="2016-03-27T10:24:00"/>
        <d v="2016-03-27T10:33:00"/>
        <d v="2016-03-27T10:25:00"/>
        <d v="2016-03-27T10:20:00"/>
        <d v="2016-03-27T10:38:00"/>
        <d v="2016-03-27T10:50:00"/>
        <d v="2016-03-27T10:42:00"/>
        <d v="2016-03-27T10:47:00"/>
        <d v="2016-03-27T10:49:00"/>
        <d v="2016-03-27T10:55:00"/>
        <d v="2016-03-27T10:56:00"/>
        <d v="2016-03-27T11:11:00"/>
        <d v="2016-03-27T11:13:00"/>
        <d v="2016-03-27T11:09:00"/>
        <d v="2016-03-27T11:24:00"/>
        <d v="2016-03-27T11:15:00"/>
        <d v="2016-03-27T11:17:00"/>
        <d v="2016-03-27T11:26:00"/>
        <d v="2016-03-27T11:29:00"/>
        <d v="2016-03-27T11:25:00"/>
        <d v="2016-03-27T11:21:00"/>
        <d v="2016-03-27T11:42:00"/>
        <d v="2016-03-27T11:32:00"/>
        <d v="2016-03-27T11:37:00"/>
        <d v="2016-03-27T11:43:00"/>
        <d v="2016-03-27T11:31:00"/>
        <d v="2016-03-27T11:40:00"/>
        <d v="2016-03-27T11:41:00"/>
        <d v="2016-03-27T11:48:00"/>
        <d v="2016-03-27T11:50:00"/>
        <d v="2016-03-27T11:45:00"/>
        <d v="2016-03-27T11:59:00"/>
        <d v="2016-03-27T11:54:00"/>
        <d v="2016-03-27T11:53:00"/>
        <d v="2016-03-27T12:08:00"/>
        <d v="2016-03-27T12:06:00"/>
        <d v="2016-03-27T12:09:00"/>
        <d v="2016-03-27T12:19:00"/>
        <d v="2016-03-27T12:13:00"/>
        <d v="2016-03-27T12:27:00"/>
        <d v="2016-03-27T12:15:00"/>
        <d v="2016-03-27T12:32:00"/>
        <d v="2016-03-27T12:24:00"/>
        <d v="2016-03-27T12:25:00"/>
        <d v="2016-03-27T12:28:00"/>
        <d v="2016-03-27T12:20:00"/>
        <d v="2016-03-27T12:21:00"/>
        <d v="2016-03-27T12:44:00"/>
        <d v="2016-03-27T12:38:00"/>
        <d v="2016-03-27T12:36:00"/>
        <d v="2016-03-27T12:33:00"/>
        <d v="2016-03-27T12:37:00"/>
        <d v="2016-03-27T12:48:00"/>
        <d v="2016-03-27T12:54:00"/>
        <d v="2016-03-27T12:47:00"/>
        <d v="2016-03-27T12:52:00"/>
        <d v="2016-03-27T13:00:00"/>
        <d v="2016-03-27T12:59:00"/>
        <d v="2016-03-27T13:06:00"/>
        <d v="2016-03-27T13:09:00"/>
        <d v="2016-03-27T13:16:00"/>
        <d v="2016-03-27T13:12:00"/>
        <d v="2016-03-27T13:14:00"/>
        <d v="2016-03-27T13:23:00"/>
        <d v="2016-03-27T13:22:00"/>
        <d v="2016-03-27T13:28:00"/>
        <d v="2016-03-27T13:42:00"/>
        <d v="2016-03-27T13:39:00"/>
        <d v="2016-03-27T13:30:00"/>
        <d v="2016-03-27T13:37:00"/>
        <d v="2016-03-27T13:46:00"/>
        <d v="2016-03-27T13:45:00"/>
        <d v="2016-03-27T13:57:00"/>
        <d v="2016-03-27T13:59:00"/>
        <d v="2016-03-27T13:50:00"/>
        <d v="2016-03-27T14:12:00"/>
        <d v="2016-03-27T14:17:00"/>
        <d v="2016-03-27T14:16:00"/>
        <d v="2016-03-27T14:11:00"/>
        <d v="2016-03-27T14:32:00"/>
        <d v="2016-03-27T14:39:00"/>
        <d v="2016-03-27T14:23:00"/>
        <d v="2016-03-27T14:24:00"/>
        <d v="2016-03-27T14:25:00"/>
        <d v="2016-03-27T14:20:00"/>
        <d v="2016-03-27T14:22:00"/>
        <d v="2016-03-27T14:37:00"/>
        <d v="2016-03-27T14:48:00"/>
        <d v="2016-03-27T15:02:00"/>
        <d v="2016-03-27T14:58:00"/>
        <d v="2016-03-27T14:46:00"/>
        <d v="2016-03-27T14:42:00"/>
        <d v="2016-03-27T14:59:00"/>
        <d v="2016-03-27T14:49:00"/>
        <d v="2016-03-27T15:14:00"/>
        <d v="2016-03-27T15:10:00"/>
        <d v="2016-03-27T15:17:00"/>
        <d v="2016-03-27T15:13:00"/>
        <d v="2016-03-27T15:27:00"/>
        <d v="2016-03-27T15:34:00"/>
        <d v="2016-03-27T15:26:00"/>
        <d v="2016-03-27T15:38:00"/>
        <d v="2016-03-27T15:41:00"/>
        <d v="2016-03-27T15:44:00"/>
        <d v="2016-03-27T16:02:00"/>
        <d v="2016-03-27T15:57:00"/>
        <d v="2016-03-27T15:59:00"/>
        <d v="2016-03-27T15:56:00"/>
        <d v="2016-03-27T15:51:00"/>
        <d v="2016-03-27T15:58:00"/>
        <d v="2016-03-27T16:08:00"/>
        <d v="2016-03-27T16:14:00"/>
        <d v="2016-03-27T16:15:00"/>
        <d v="2016-03-27T16:10:00"/>
        <d v="2016-03-27T16:00:00"/>
        <d v="2016-03-27T16:22:00"/>
        <d v="2016-03-27T16:16:00"/>
        <d v="2016-03-27T16:26:00"/>
        <d v="2016-03-27T16:32:00"/>
        <d v="2016-03-27T16:30:00"/>
        <d v="2016-03-27T16:36:00"/>
        <d v="2016-03-27T16:37:00"/>
        <d v="2016-03-27T16:49:00"/>
        <d v="2016-03-27T16:50:00"/>
        <d v="2016-03-27T16:53:00"/>
        <d v="2016-03-27T16:54:00"/>
        <d v="2016-03-27T16:58:00"/>
        <d v="2016-03-27T17:07:00"/>
        <d v="2016-03-27T17:11:00"/>
        <d v="2016-03-27T17:15:00"/>
        <d v="2016-03-27T17:19:00"/>
        <d v="2016-03-27T17:14:00"/>
        <d v="2016-03-27T17:30:00"/>
        <d v="2016-03-27T17:28:00"/>
        <d v="2016-03-27T17:29:00"/>
        <d v="2016-03-27T17:21:00"/>
        <d v="2016-03-27T17:20:00"/>
        <d v="2016-03-27T17:39:00"/>
        <d v="2016-03-27T17:36:00"/>
        <d v="2016-03-27T17:37:00"/>
        <d v="2016-03-27T17:38:00"/>
        <d v="2016-03-27T17:34:00"/>
        <d v="2016-03-27T17:50:00"/>
        <d v="2016-03-27T17:49:00"/>
        <d v="2016-03-27T17:52:00"/>
        <d v="2016-03-27T17:57:00"/>
        <d v="2016-03-27T17:54:00"/>
        <d v="2016-03-27T17:51:00"/>
        <d v="2016-03-27T17:58:00"/>
        <d v="2016-03-27T18:07:00"/>
        <d v="2016-03-27T18:00:00"/>
        <d v="2016-03-27T18:14:00"/>
        <d v="2016-03-27T18:06:00"/>
        <d v="2016-03-27T18:18:00"/>
        <d v="2016-03-27T18:19:00"/>
        <d v="2016-03-27T18:26:00"/>
        <d v="2016-03-27T18:22:00"/>
        <d v="2016-03-27T18:28:00"/>
        <d v="2016-03-27T18:45:00"/>
        <d v="2016-03-27T18:31:00"/>
        <d v="2016-03-27T18:30:00"/>
        <d v="2016-03-27T18:34:00"/>
        <d v="2016-03-27T18:48:00"/>
        <d v="2016-03-27T18:55:00"/>
        <d v="2016-03-27T18:53:00"/>
        <d v="2016-03-27T18:54:00"/>
        <d v="2016-03-27T18:58:00"/>
        <d v="2016-03-27T19:02:00"/>
        <d v="2016-03-27T19:09:00"/>
        <d v="2016-03-27T19:00:00"/>
        <d v="2016-03-27T19:05:00"/>
        <d v="2016-03-27T19:17:00"/>
        <d v="2016-03-27T19:12:00"/>
        <d v="2016-03-27T19:10:00"/>
        <d v="2016-03-27T19:14:00"/>
        <d v="2016-03-27T03:40:00"/>
        <d v="2016-03-27T19:35:00"/>
        <d v="2016-03-27T19:28:00"/>
        <d v="2016-03-27T19:25:00"/>
        <d v="2016-03-27T19:29:00"/>
        <d v="2016-03-27T19:27:00"/>
        <d v="2016-03-27T19:38:00"/>
        <d v="2016-03-27T19:44:00"/>
        <d v="2016-03-27T19:30:00"/>
        <d v="2016-03-27T19:37:00"/>
        <d v="2016-03-27T19:32:00"/>
        <d v="2016-03-27T19:31:00"/>
        <d v="2016-03-27T19:47:00"/>
        <d v="2016-03-27T19:48:00"/>
        <d v="2016-03-27T19:49:00"/>
        <d v="2016-03-27T19:50:00"/>
        <d v="2016-03-27T19:57:00"/>
        <d v="2016-03-27T20:06:00"/>
        <d v="2016-03-27T19:52:00"/>
        <d v="2016-03-27T20:01:00"/>
        <d v="2016-03-27T19:51:00"/>
        <d v="2016-03-27T19:58:00"/>
        <d v="2016-03-27T19:59:00"/>
        <d v="2016-03-27T20:11:00"/>
        <d v="2016-03-27T20:04:00"/>
        <d v="2016-03-27T20:08:00"/>
        <d v="2016-03-27T20:13:00"/>
        <d v="2016-03-27T20:14:00"/>
        <d v="2016-03-27T20:25:00"/>
        <d v="2016-03-27T20:22:00"/>
        <d v="2016-03-27T20:17:00"/>
        <d v="2016-03-27T20:20:00"/>
        <d v="2016-03-27T20:19:00"/>
        <d v="2016-03-27T20:28:00"/>
        <d v="2016-03-27T20:34:00"/>
        <d v="2016-03-27T20:33:00"/>
        <d v="2016-03-27T20:27:00"/>
        <d v="2016-03-27T20:23:00"/>
        <d v="2016-03-27T20:21:00"/>
        <d v="2016-03-27T20:32:00"/>
        <d v="2016-03-27T20:38:00"/>
        <d v="2016-03-27T20:44:00"/>
        <d v="2016-03-27T20:36:00"/>
        <d v="2016-03-27T20:42:00"/>
        <d v="2016-03-27T20:31:00"/>
        <d v="2016-03-27T20:50:00"/>
        <d v="2016-03-27T20:41:00"/>
        <d v="2016-03-27T20:48:00"/>
        <d v="2016-03-27T20:56:00"/>
        <d v="2016-03-27T20:54:00"/>
        <d v="2016-03-27T20:52:00"/>
        <d v="2016-03-27T20:55:00"/>
        <d v="2016-03-27T21:02:00"/>
        <d v="2016-03-27T21:26:00"/>
        <d v="2016-03-27T21:06:00"/>
        <d v="2016-03-27T21:28:00"/>
        <d v="2016-03-27T21:13:00"/>
        <d v="2016-03-27T21:29:00"/>
        <d v="2016-03-27T21:21:00"/>
        <d v="2016-03-27T21:22:00"/>
        <d v="2016-03-27T21:20:00"/>
        <d v="2016-03-27T21:38:00"/>
        <d v="2016-03-27T21:40:00"/>
        <d v="2016-03-27T21:51:00"/>
        <d v="2016-03-27T21:48:00"/>
        <d v="2016-03-27T21:41:00"/>
        <d v="2016-03-27T21:52:00"/>
        <d v="2016-03-27T21:54:00"/>
        <d v="2016-03-27T21:56:00"/>
        <d v="2016-03-27T21:57:00"/>
        <d v="2016-03-27T22:13:00"/>
        <d v="2016-03-27T22:04:00"/>
        <d v="2016-03-27T22:46:00"/>
        <d v="2016-03-27T22:40:00"/>
        <d v="2016-03-27T22:23:00"/>
        <d v="2016-03-27T22:20:00"/>
        <d v="2016-03-27T22:18:00"/>
        <d v="2016-03-27T22:25:00"/>
        <d v="2016-03-27T22:16:00"/>
        <d v="2016-03-27T22:30:00"/>
        <d v="2016-03-27T22:11:00"/>
        <d v="2016-03-27T22:45:00"/>
        <d v="2016-03-27T22:43:00"/>
        <d v="2016-03-27T22:52:00"/>
        <d v="2016-03-27T22:41:00"/>
        <d v="2016-03-27T22:53:00"/>
        <d v="2016-03-27T23:05:00"/>
        <d v="2016-03-27T22:56:00"/>
        <d v="2016-03-27T22:37:00"/>
        <d v="2016-03-27T23:21:00"/>
        <d v="2016-03-27T23:15:00"/>
        <d v="2016-03-27T23:17:00"/>
        <d v="2016-03-27T23:22:00"/>
        <d v="2016-03-27T23:16:00"/>
        <d v="2016-03-27T23:07:00"/>
        <d v="2016-03-27T23:14:00"/>
        <d v="2016-03-27T23:10:00"/>
        <d v="2016-03-27T23:40:00"/>
        <d v="2016-03-27T23:39:00"/>
        <d v="2016-03-27T23:29:00"/>
        <d v="2016-03-27T23:37:00"/>
        <d v="2016-03-27T23:45:00"/>
        <d v="2016-03-27T23:44:00"/>
        <d v="2016-03-27T23:27:00"/>
        <d v="2016-03-27T23:25:00"/>
        <d v="2016-03-27T23:36:00"/>
        <d v="2016-03-27T23:33:00"/>
        <d v="2016-03-27T23:50:00"/>
        <d v="2016-03-27T23:54:00"/>
        <d v="2016-03-27T23:51:00"/>
        <d v="2016-03-28T00:07:00"/>
        <d v="2016-03-28T00:10:00"/>
        <d v="2016-03-28T00:20:00"/>
        <d v="2016-03-28T00:27:00"/>
        <d v="2016-03-28T00:25:00"/>
        <d v="2016-03-28T00:32:00"/>
        <d v="2016-03-28T00:30:00"/>
        <d v="2016-03-28T00:37:00"/>
        <d v="2016-03-28T00:42:00"/>
        <d v="2016-03-28T00:45:00"/>
        <d v="2016-03-28T00:47:00"/>
        <d v="2016-03-28T00:54:00"/>
        <d v="2016-03-28T00:55:00"/>
        <d v="2016-03-28T01:04:00"/>
        <d v="2016-03-28T01:03:00"/>
        <d v="2016-03-28T01:00:00"/>
        <d v="2016-03-28T01:20:00"/>
        <d v="2016-03-28T01:19:00"/>
        <d v="2016-03-28T01:17:00"/>
        <d v="2016-03-28T01:27:00"/>
        <d v="2016-03-28T01:28:00"/>
        <d v="2016-03-28T01:31:00"/>
        <d v="2016-03-28T01:29:00"/>
        <d v="2016-03-28T01:46:00"/>
        <d v="2016-03-28T01:43:00"/>
        <d v="2016-03-28T02:00:00"/>
        <d v="2016-03-28T01:59:00"/>
        <d v="2016-03-28T02:03:00"/>
        <d v="2016-03-28T01:56:00"/>
        <d v="2016-03-28T01:51:00"/>
        <d v="2016-03-28T02:26:00"/>
        <d v="2016-03-28T02:32:00"/>
        <d v="2016-03-28T02:34:00"/>
        <d v="2016-03-28T02:17:00"/>
        <d v="2016-03-28T02:33:00"/>
        <d v="2016-03-28T02:22:00"/>
        <d v="2016-03-28T02:14:00"/>
        <d v="2016-03-28T02:30:00"/>
        <d v="2016-03-28T02:28:00"/>
        <d v="2016-03-28T02:24:00"/>
        <d v="2016-03-28T02:07:00"/>
        <d v="2016-03-28T02:38:00"/>
        <d v="2016-03-28T02:54:00"/>
        <d v="2016-03-28T02:47:00"/>
        <d v="2016-03-28T02:41:00"/>
        <d v="2016-03-28T03:01:00"/>
        <d v="2016-03-28T02:50:00"/>
        <d v="2016-03-28T02:52:00"/>
        <d v="2016-03-28T03:03:00"/>
        <d v="2016-03-28T03:07:00"/>
        <d v="2016-03-28T03:09:00"/>
        <d v="2016-03-28T03:12:00"/>
        <d v="2016-03-28T03:16:00"/>
        <d v="2016-03-28T03:21:00"/>
        <d v="2016-03-28T03:29:00"/>
        <d v="2016-03-28T03:33:00"/>
        <d v="2016-03-28T03:55:00"/>
        <d v="2016-03-28T03:48:00"/>
        <d v="2016-03-28T03:59:00"/>
        <d v="2016-03-28T04:08:00"/>
        <d v="2016-03-28T04:11:00"/>
        <d v="2016-03-28T04:02:00"/>
        <d v="2016-03-28T04:25:00"/>
        <d v="2016-03-28T04:21:00"/>
        <d v="2016-03-28T04:26:00"/>
        <d v="2016-03-28T04:32:00"/>
        <d v="2016-03-28T04:30:00"/>
        <d v="2016-03-28T04:33:00"/>
        <d v="2016-03-28T04:41:00"/>
        <d v="2016-03-28T04:34:00"/>
        <d v="2016-03-28T04:45:00"/>
        <d v="2016-03-28T04:49:00"/>
        <d v="2016-03-28T05:02:00"/>
        <d v="2016-03-28T05:05:00"/>
        <d v="2016-03-28T05:01:00"/>
        <d v="2016-03-28T05:00:00"/>
        <d v="2016-03-28T05:21:00"/>
        <d v="2016-03-28T05:16:00"/>
        <d v="2016-03-28T05:23:00"/>
        <d v="2016-03-28T05:11:00"/>
        <d v="2016-03-28T05:30:00"/>
        <d v="2016-03-28T05:24:00"/>
        <d v="2016-03-28T05:34:00"/>
        <d v="2016-03-28T05:49:00"/>
        <d v="2016-03-28T05:51:00"/>
        <d v="2016-03-28T06:03:00"/>
        <d v="2016-03-28T05:59:00"/>
        <d v="2016-03-28T05:55:00"/>
        <d v="2016-03-28T05:58:00"/>
        <d v="2016-03-28T06:13:00"/>
        <d v="2016-03-28T06:04:00"/>
        <d v="2016-03-28T06:22:00"/>
        <d v="2016-03-28T06:24:00"/>
        <d v="2016-03-28T06:40:00"/>
        <d v="2016-03-28T06:39:00"/>
        <d v="2016-03-28T06:32:00"/>
        <d v="2016-03-28T06:34:00"/>
        <d v="2016-03-28T06:36:00"/>
        <d v="2016-03-28T06:58:00"/>
        <d v="2016-03-28T06:59:00"/>
        <d v="2016-03-28T07:05:00"/>
        <d v="2016-03-28T06:55:00"/>
        <d v="2016-03-28T07:01:00"/>
        <d v="2016-03-28T06:57:00"/>
        <d v="2016-03-28T07:03:00"/>
        <d v="2016-03-28T07:28:00"/>
        <d v="2016-03-28T07:22:00"/>
        <d v="2016-03-28T07:21:00"/>
        <d v="2016-03-28T07:29:00"/>
        <d v="2016-03-28T07:25:00"/>
        <d v="2016-03-28T07:42:00"/>
        <d v="2016-03-28T07:38:00"/>
        <d v="2016-03-28T07:44:00"/>
        <d v="2016-03-28T07:32:00"/>
        <d v="2016-03-28T07:39:00"/>
        <d v="2016-03-28T07:43:00"/>
        <d v="2016-03-28T07:58:00"/>
        <d v="2016-03-28T07:53:00"/>
        <d v="2016-03-28T06:15:00"/>
        <d v="2016-03-28T08:07:00"/>
        <d v="2016-03-28T08:00:00"/>
        <d v="2016-03-28T08:11:00"/>
        <d v="2016-03-28T08:08:00"/>
        <d v="2016-03-28T08:05:00"/>
        <d v="2016-03-28T08:25:00"/>
        <d v="2016-03-28T08:30:00"/>
        <d v="2016-03-28T08:29:00"/>
        <d v="2016-03-28T08:28:00"/>
        <d v="2016-03-28T08:23:00"/>
        <d v="2016-03-28T08:43:00"/>
        <d v="2016-03-28T08:31:00"/>
        <d v="2016-03-28T08:48:00"/>
        <d v="2016-03-28T08:47:00"/>
        <d v="2016-03-28T08:49:00"/>
        <d v="2016-03-28T08:42:00"/>
        <d v="2016-03-28T08:56:00"/>
        <d v="2016-03-28T08:50:00"/>
        <d v="2016-03-28T08:52:00"/>
        <d v="2016-03-28T09:06:00"/>
        <d v="2016-03-28T09:09:00"/>
        <d v="2016-03-28T09:16:00"/>
        <d v="2016-03-28T09:13:00"/>
        <d v="2016-03-28T09:20:00"/>
        <d v="2016-03-28T09:37:00"/>
        <d v="2016-03-28T09:33:00"/>
        <d v="2016-03-28T09:34:00"/>
        <d v="2016-03-28T09:35:00"/>
        <d v="2016-03-28T09:31:00"/>
        <d v="2016-03-28T09:32:00"/>
        <d v="2016-03-28T09:48:00"/>
        <d v="2016-03-28T09:45:00"/>
        <d v="2016-03-28T09:49:00"/>
        <d v="2016-03-28T09:51:00"/>
        <d v="2016-03-28T09:42:00"/>
        <d v="2016-03-28T09:50:00"/>
        <d v="2016-03-28T09:54:00"/>
        <d v="2016-03-28T09:56:00"/>
        <d v="2016-03-28T09:57:00"/>
        <d v="2016-03-28T09:53:00"/>
        <d v="2016-03-28T10:07:00"/>
        <d v="2016-03-28T10:06:00"/>
        <d v="2016-03-28T10:04:00"/>
        <d v="2016-03-28T10:16:00"/>
        <d v="2016-03-28T10:10:00"/>
        <d v="2016-03-28T10:18:00"/>
        <d v="2016-03-28T10:15:00"/>
        <d v="2016-03-28T10:13:00"/>
        <d v="2016-03-28T10:12:00"/>
        <d v="2016-03-28T10:25:00"/>
        <d v="2016-03-28T10:29:00"/>
        <d v="2016-03-28T10:26:00"/>
        <d v="2016-03-28T10:28:00"/>
        <d v="2016-03-28T10:39:00"/>
        <d v="2016-03-28T10:34:00"/>
        <d v="2016-03-28T10:31:00"/>
        <d v="2016-03-28T10:37:00"/>
        <d v="2016-03-28T10:47:00"/>
        <d v="2016-03-28T10:55:00"/>
        <d v="2016-03-28T10:45:00"/>
        <d v="2016-03-28T11:00:00"/>
        <d v="2016-03-28T10:53:00"/>
        <d v="2016-03-28T11:03:00"/>
      </sharedItems>
      <fieldGroup par="5" base="3">
        <rangePr groupBy="minutes" startDate="2016-03-26T17:14:00" endDate="2016-03-28T11:03:00"/>
        <groupItems count="62">
          <s v="&lt;3/26/201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8/2016"/>
        </groupItems>
      </fieldGroup>
    </cacheField>
    <cacheField name="Hours" numFmtId="0" databaseField="0">
      <fieldGroup base="3">
        <rangePr groupBy="hours" startDate="2016-03-26T17:14:00" endDate="2016-03-28T11:03:00"/>
        <groupItems count="26">
          <s v="&lt;3/26/201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8/2016"/>
        </groupItems>
      </fieldGroup>
    </cacheField>
    <cacheField name="Days" numFmtId="0" databaseField="0">
      <fieldGroup base="3">
        <rangePr groupBy="days" startDate="2016-03-26T17:14:00" endDate="2016-03-28T11:03:00"/>
        <groupItems count="368">
          <s v="&lt;3/26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8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5">
  <r>
    <n v="1702311"/>
    <n v="242"/>
    <s v="FIGHT DISTURBANCE"/>
    <d v="2016-03-26T17:17:00"/>
    <x v="0"/>
  </r>
  <r>
    <n v="1702312"/>
    <n v="470"/>
    <s v="PARKING VIOLATION (EXCEPT ABANDONED VEHICLES)"/>
    <d v="2016-03-26T17:15:00"/>
    <x v="1"/>
  </r>
  <r>
    <n v="1702316"/>
    <n v="460"/>
    <s v="TRAFFIC (MOVING) VIOLATION"/>
    <d v="2016-03-26T17:19:00"/>
    <x v="2"/>
  </r>
  <r>
    <n v="1702317"/>
    <n v="280"/>
    <s v="SUSPICIOUS PERSON"/>
    <d v="2016-03-26T17:26:00"/>
    <x v="3"/>
  </r>
  <r>
    <n v="1702318"/>
    <n v="281"/>
    <s v="SUSPICIOUS VEHICLE"/>
    <d v="2016-03-26T17:19:00"/>
    <x v="1"/>
  </r>
  <r>
    <n v="1702319"/>
    <n v="176"/>
    <s v="LIQUOR VIOLATION - ADULT"/>
    <d v="2016-03-26T17:17:00"/>
    <x v="4"/>
  </r>
  <r>
    <n v="1702321"/>
    <n v="245"/>
    <s v="DISTURBANCE, OTHER"/>
    <d v="2016-03-26T17:18:00"/>
    <x v="0"/>
  </r>
  <r>
    <n v="1702322"/>
    <n v="201"/>
    <s v="ALACAD - RESIDENTIAL BURGLARY (FALSE)"/>
    <d v="2016-03-26T17:17:00"/>
    <x v="4"/>
  </r>
  <r>
    <n v="1702323"/>
    <n v="245"/>
    <s v="DISTURBANCE, OTHER"/>
    <d v="2016-03-26T17:18:00"/>
    <x v="2"/>
  </r>
  <r>
    <n v="1702324"/>
    <n v="65"/>
    <s v="THEFT - MISCELLANEOUS"/>
    <d v="2016-03-26T17:14:00"/>
    <x v="5"/>
  </r>
  <r>
    <n v="1702325"/>
    <n v="245"/>
    <s v="DISTURBANCE, OTHER"/>
    <d v="2016-03-26T17:36:00"/>
    <x v="6"/>
  </r>
  <r>
    <n v="1702326"/>
    <n v="280"/>
    <s v="SUSPICIOUS PERSON"/>
    <d v="2016-03-26T17:31:00"/>
    <x v="0"/>
  </r>
  <r>
    <n v="1702327"/>
    <n v="460"/>
    <s v="TRAFFIC (MOVING) VIOLATION"/>
    <d v="2016-03-26T17:29:00"/>
    <x v="7"/>
  </r>
  <r>
    <n v="1702328"/>
    <n v="280"/>
    <s v="SUSPICIOUS PERSON"/>
    <d v="2016-03-26T17:28:00"/>
    <x v="2"/>
  </r>
  <r>
    <n v="1702329"/>
    <n v="245"/>
    <s v="DISTURBANCE, OTHER"/>
    <d v="2016-03-26T17:30:00"/>
    <x v="8"/>
  </r>
  <r>
    <n v="1702330"/>
    <n v="281"/>
    <s v="SUSPICIOUS VEHICLE"/>
    <d v="2016-03-26T17:29:00"/>
    <x v="4"/>
  </r>
  <r>
    <n v="1702331"/>
    <n v="52"/>
    <s v="BURGLARY - COMMERCIAL"/>
    <d v="2016-03-26T17:32:00"/>
    <x v="0"/>
  </r>
  <r>
    <n v="1702332"/>
    <n v="250"/>
    <s v="MISCHIEF, NUISANCE COMPLAINTS"/>
    <d v="2016-03-26T17:30:00"/>
    <x v="0"/>
  </r>
  <r>
    <n v="1702333"/>
    <n v="177"/>
    <s v="LIQUOR VIOLATION - INTOXICATED PERSON"/>
    <d v="2016-03-26T17:39:00"/>
    <x v="2"/>
  </r>
  <r>
    <n v="1702334"/>
    <n v="363"/>
    <s v="MISSING PERSON"/>
    <d v="2016-03-26T17:37:00"/>
    <x v="9"/>
  </r>
  <r>
    <n v="1702335"/>
    <n v="245"/>
    <s v="DISTURBANCE, OTHER"/>
    <d v="2016-03-26T17:40:00"/>
    <x v="10"/>
  </r>
  <r>
    <n v="1702336"/>
    <n v="430"/>
    <s v="MOTOR VEHICLE COLLISION"/>
    <d v="2016-03-26T17:39:00"/>
    <x v="11"/>
  </r>
  <r>
    <n v="1702337"/>
    <n v="280"/>
    <s v="SUSPICIOUS PERSON"/>
    <d v="2016-03-26T17:30:00"/>
    <x v="8"/>
  </r>
  <r>
    <n v="1702338"/>
    <n v="280"/>
    <s v="SUSPICIOUS PERSON"/>
    <d v="2016-03-26T17:40:00"/>
    <x v="2"/>
  </r>
  <r>
    <n v="1702339"/>
    <n v="186"/>
    <s v="NARCOTICS, DRUG TRAFFIC LOITERING"/>
    <d v="2016-03-26T17:31:00"/>
    <x v="12"/>
  </r>
  <r>
    <n v="1702340"/>
    <n v="245"/>
    <s v="DISTURBANCE, OTHER"/>
    <d v="2016-03-26T17:38:00"/>
    <x v="13"/>
  </r>
  <r>
    <n v="1702341"/>
    <n v="372"/>
    <s v="PROPERTY - FOUND (FOLLOW UP TO SPD CASE)"/>
    <d v="2016-03-26T17:30:00"/>
    <x v="12"/>
  </r>
  <r>
    <n v="1702342"/>
    <n v="63"/>
    <s v="THEFT - CAR PROWL"/>
    <d v="2016-03-26T17:33:00"/>
    <x v="3"/>
  </r>
  <r>
    <n v="1702343"/>
    <n v="470"/>
    <s v="PARKING VIOLATION (EXCEPT ABANDONED VEHICLES)"/>
    <d v="2016-03-26T17:43:00"/>
    <x v="7"/>
  </r>
  <r>
    <n v="1702344"/>
    <n v="161"/>
    <s v="TRESPASS"/>
    <d v="2016-03-26T17:43:00"/>
    <x v="1"/>
  </r>
  <r>
    <n v="1702345"/>
    <n v="74"/>
    <s v="LICENSE PLATE THEFT OR LOSS"/>
    <d v="2016-03-26T17:47:00"/>
    <x v="14"/>
  </r>
  <r>
    <n v="1702346"/>
    <n v="430"/>
    <s v="MOTOR VEHICLE COLLISION"/>
    <d v="2016-03-26T17:42:00"/>
    <x v="14"/>
  </r>
  <r>
    <n v="1702347"/>
    <n v="280"/>
    <s v="SUSPICIOUS PERSON"/>
    <d v="2016-03-26T17:52:00"/>
    <x v="10"/>
  </r>
  <r>
    <n v="1702348"/>
    <n v="245"/>
    <s v="DISTURBANCE, OTHER"/>
    <d v="2016-03-26T17:45:00"/>
    <x v="6"/>
  </r>
  <r>
    <n v="1702349"/>
    <n v="460"/>
    <s v="TRAFFIC (MOVING) VIOLATION"/>
    <d v="2016-03-26T17:56:00"/>
    <x v="15"/>
  </r>
  <r>
    <n v="1702350"/>
    <n v="245"/>
    <s v="DISTURBANCE, OTHER"/>
    <d v="2016-03-26T18:02:00"/>
    <x v="10"/>
  </r>
  <r>
    <n v="1702351"/>
    <n v="341"/>
    <s v="HARBOR - DEBRIS, NAVIGATIONAL HAZARDS"/>
    <d v="2016-03-26T17:44:00"/>
    <x v="12"/>
  </r>
  <r>
    <n v="1702352"/>
    <n v="245"/>
    <s v="DISTURBANCE, OTHER"/>
    <d v="2016-03-26T18:01:00"/>
    <x v="11"/>
  </r>
  <r>
    <n v="1702353"/>
    <n v="245"/>
    <s v="DISTURBANCE, OTHER"/>
    <d v="2016-03-26T18:02:00"/>
    <x v="7"/>
  </r>
  <r>
    <n v="1702354"/>
    <n v="280"/>
    <s v="SUSPICIOUS PERSON"/>
    <d v="2016-03-26T17:57:00"/>
    <x v="12"/>
  </r>
  <r>
    <n v="1702355"/>
    <n v="363"/>
    <s v="MISSING PERSON"/>
    <d v="2016-03-26T17:56:00"/>
    <x v="5"/>
  </r>
  <r>
    <n v="1702356"/>
    <n v="51"/>
    <s v="BURGLARY - RESIDENTIAL, OCCUPIED"/>
    <d v="2016-03-26T17:58:00"/>
    <x v="11"/>
  </r>
  <r>
    <n v="1702357"/>
    <n v="40"/>
    <s v="ASSAULTS, OTHER"/>
    <d v="2016-03-26T17:52:00"/>
    <x v="8"/>
  </r>
  <r>
    <n v="1702358"/>
    <n v="100"/>
    <s v="FRAUD (INCLUDING IDENTITY THEFT)"/>
    <d v="2016-03-26T17:51:00"/>
    <x v="12"/>
  </r>
  <r>
    <n v="1702360"/>
    <n v="430"/>
    <s v="MOTOR VEHICLE COLLISION"/>
    <d v="2016-03-26T18:07:00"/>
    <x v="14"/>
  </r>
  <r>
    <n v="1702361"/>
    <n v="250"/>
    <s v="MISCHIEF, NUISANCE COMPLAINTS"/>
    <d v="2016-03-26T18:14:00"/>
    <x v="12"/>
  </r>
  <r>
    <n v="1702362"/>
    <n v="177"/>
    <s v="LIQUOR VIOLATION - INTOXICATED PERSON"/>
    <d v="2016-03-26T18:20:00"/>
    <x v="11"/>
  </r>
  <r>
    <n v="1702363"/>
    <n v="245"/>
    <s v="DISTURBANCE, OTHER"/>
    <d v="2016-03-26T18:23:00"/>
    <x v="10"/>
  </r>
  <r>
    <n v="1702364"/>
    <n v="161"/>
    <s v="TRESPASS"/>
    <d v="2016-03-26T18:14:00"/>
    <x v="11"/>
  </r>
  <r>
    <n v="1702365"/>
    <n v="280"/>
    <s v="SUSPICIOUS PERSON"/>
    <d v="2016-03-26T18:17:00"/>
    <x v="16"/>
  </r>
  <r>
    <n v="1702366"/>
    <n v="430"/>
    <s v="MOTOR VEHICLE COLLISION"/>
    <d v="2016-03-26T18:19:00"/>
    <x v="4"/>
  </r>
  <r>
    <n v="1702367"/>
    <n v="41"/>
    <s v="HARASSMENT, THREATS"/>
    <d v="2016-03-26T18:10:00"/>
    <x v="7"/>
  </r>
  <r>
    <n v="1702368"/>
    <n v="430"/>
    <s v="MOTOR VEHICLE COLLISION"/>
    <d v="2016-03-26T18:14:00"/>
    <x v="13"/>
  </r>
  <r>
    <n v="1702369"/>
    <n v="430"/>
    <s v="MOTOR VEHICLE COLLISION"/>
    <d v="2016-03-26T18:17:00"/>
    <x v="7"/>
  </r>
  <r>
    <n v="1702370"/>
    <n v="63"/>
    <s v="THEFT - CAR PROWL"/>
    <d v="2016-03-26T18:12:00"/>
    <x v="15"/>
  </r>
  <r>
    <n v="1702372"/>
    <n v="242"/>
    <s v="FIGHT DISTURBANCE"/>
    <d v="2016-03-26T18:24:00"/>
    <x v="4"/>
  </r>
  <r>
    <n v="1702373"/>
    <n v="410"/>
    <s v="ABANDONED VEHICLE"/>
    <d v="2016-03-26T18:38:00"/>
    <x v="11"/>
  </r>
  <r>
    <n v="1702374"/>
    <n v="71"/>
    <s v="AUTO THEFT"/>
    <d v="2016-03-26T18:32:00"/>
    <x v="12"/>
  </r>
  <r>
    <n v="1702375"/>
    <n v="430"/>
    <s v="MOTOR VEHICLE COLLISION"/>
    <d v="2016-03-26T18:30:00"/>
    <x v="8"/>
  </r>
  <r>
    <n v="1702376"/>
    <n v="430"/>
    <s v="MOTOR VEHICLE COLLISION"/>
    <d v="2016-03-26T18:39:00"/>
    <x v="17"/>
  </r>
  <r>
    <n v="1702377"/>
    <n v="177"/>
    <s v="LIQUOR VIOLATION - INTOXICATED PERSON"/>
    <d v="2016-03-26T18:49:00"/>
    <x v="1"/>
  </r>
  <r>
    <n v="1702378"/>
    <n v="184"/>
    <s v="NARCOTICS, OTHER"/>
    <d v="2016-03-26T18:57:00"/>
    <x v="5"/>
  </r>
  <r>
    <n v="1702379"/>
    <n v="245"/>
    <s v="DISTURBANCE, OTHER"/>
    <d v="2016-03-26T18:57:00"/>
    <x v="5"/>
  </r>
  <r>
    <n v="1702380"/>
    <n v="53"/>
    <s v="BURGLARY - UNOCCUPIED STRUCTURE ON RESIDENTIAL PROPERTY"/>
    <d v="2016-03-26T18:45:00"/>
    <x v="13"/>
  </r>
  <r>
    <n v="1702381"/>
    <n v="63"/>
    <s v="THEFT - CAR PROWL"/>
    <d v="2016-03-26T18:42:00"/>
    <x v="4"/>
  </r>
  <r>
    <n v="1702382"/>
    <n v="64"/>
    <s v="SHOPLIFT"/>
    <d v="2016-03-26T18:52:00"/>
    <x v="13"/>
  </r>
  <r>
    <n v="1702383"/>
    <n v="470"/>
    <s v="PARKING VIOLATION (EXCEPT ABANDONED VEHICLES)"/>
    <d v="2016-03-26T19:00:00"/>
    <x v="12"/>
  </r>
  <r>
    <n v="1702384"/>
    <n v="203"/>
    <s v="ALACAD - RESIDENTIAL PANIC (FALSE)"/>
    <d v="2016-03-26T18:53:00"/>
    <x v="11"/>
  </r>
  <r>
    <n v="1702385"/>
    <n v="430"/>
    <s v="MOTOR VEHICLE COLLISION"/>
    <d v="2016-03-26T18:57:00"/>
    <x v="5"/>
  </r>
  <r>
    <n v="1702386"/>
    <n v="470"/>
    <s v="PARKING VIOLATION (EXCEPT ABANDONED VEHICLES)"/>
    <d v="2016-03-26T19:04:00"/>
    <x v="7"/>
  </r>
  <r>
    <n v="1702387"/>
    <n v="470"/>
    <s v="PARKING VIOLATION (EXCEPT ABANDONED VEHICLES)"/>
    <d v="2016-03-26T19:03:00"/>
    <x v="11"/>
  </r>
  <r>
    <n v="1702388"/>
    <n v="281"/>
    <s v="SUSPICIOUS VEHICLE"/>
    <d v="2016-03-26T19:03:00"/>
    <x v="8"/>
  </r>
  <r>
    <n v="1702389"/>
    <n v="430"/>
    <s v="MOTOR VEHICLE COLLISION"/>
    <d v="2016-03-26T19:01:00"/>
    <x v="12"/>
  </r>
  <r>
    <n v="1702390"/>
    <n v="470"/>
    <s v="PARKING VIOLATION (EXCEPT ABANDONED VEHICLES)"/>
    <d v="2016-03-26T19:16:00"/>
    <x v="10"/>
  </r>
  <r>
    <n v="1702391"/>
    <n v="292"/>
    <s v="PERSON WITH A WEAPON (NOT GUN)"/>
    <d v="2016-03-26T19:14:00"/>
    <x v="7"/>
  </r>
  <r>
    <n v="1702392"/>
    <n v="281"/>
    <s v="SUSPICIOUS VEHICLE"/>
    <d v="2016-03-26T19:12:00"/>
    <x v="5"/>
  </r>
  <r>
    <n v="1702393"/>
    <n v="430"/>
    <s v="MOTOR VEHICLE COLLISION"/>
    <d v="2016-03-26T19:16:00"/>
    <x v="14"/>
  </r>
  <r>
    <n v="1702394"/>
    <n v="220"/>
    <s v="CRISIS COMPLAINT - GENERAL"/>
    <d v="2016-03-26T19:15:00"/>
    <x v="7"/>
  </r>
  <r>
    <n v="1702395"/>
    <n v="280"/>
    <s v="SUSPICIOUS PERSON"/>
    <d v="2016-03-26T19:28:00"/>
    <x v="14"/>
  </r>
  <r>
    <n v="1702396"/>
    <n v="250"/>
    <s v="MISCHIEF, NUISANCE COMPLAINTS"/>
    <d v="2016-03-26T19:22:00"/>
    <x v="12"/>
  </r>
  <r>
    <n v="1702397"/>
    <n v="280"/>
    <s v="SUSPICIOUS PERSON"/>
    <d v="2016-03-26T19:23:00"/>
    <x v="7"/>
  </r>
  <r>
    <n v="1702398"/>
    <n v="220"/>
    <s v="CRISIS COMPLAINT - GENERAL"/>
    <d v="2016-03-26T19:25:00"/>
    <x v="10"/>
  </r>
  <r>
    <n v="1702399"/>
    <n v="242"/>
    <s v="FIGHT DISTURBANCE"/>
    <d v="2016-03-26T19:29:00"/>
    <x v="6"/>
  </r>
  <r>
    <n v="1702400"/>
    <n v="64"/>
    <s v="SHOPLIFT"/>
    <d v="2016-03-26T19:20:00"/>
    <x v="15"/>
  </r>
  <r>
    <n v="1702401"/>
    <n v="63"/>
    <s v="THEFT - CAR PROWL"/>
    <d v="2016-03-26T19:32:00"/>
    <x v="5"/>
  </r>
  <r>
    <n v="1702402"/>
    <n v="100"/>
    <s v="FRAUD (INCLUDING IDENTITY THEFT)"/>
    <d v="2016-03-26T19:20:00"/>
    <x v="15"/>
  </r>
  <r>
    <n v="1702403"/>
    <n v="245"/>
    <s v="DISTURBANCE, OTHER"/>
    <d v="2016-03-26T19:39:00"/>
    <x v="7"/>
  </r>
  <r>
    <n v="1702404"/>
    <n v="200"/>
    <s v="ALACAD - COMMERCIAL BURGLARY (FALSE)"/>
    <d v="2016-03-26T19:38:00"/>
    <x v="1"/>
  </r>
  <r>
    <n v="1702405"/>
    <n v="245"/>
    <s v="DISTURBANCE, OTHER"/>
    <d v="2016-03-26T19:31:00"/>
    <x v="3"/>
  </r>
  <r>
    <n v="1702406"/>
    <n v="280"/>
    <s v="SUSPICIOUS PERSON"/>
    <d v="2016-03-26T19:33:00"/>
    <x v="12"/>
  </r>
  <r>
    <n v="1702407"/>
    <n v="40"/>
    <s v="ASSAULTS, OTHER"/>
    <d v="2016-03-26T19:37:00"/>
    <x v="6"/>
  </r>
  <r>
    <n v="1702408"/>
    <n v="40"/>
    <s v="ASSAULTS, OTHER"/>
    <d v="2016-03-26T19:38:00"/>
    <x v="0"/>
  </r>
  <r>
    <n v="1702409"/>
    <n v="71"/>
    <s v="AUTO THEFT"/>
    <d v="2016-03-26T19:40:00"/>
    <x v="2"/>
  </r>
  <r>
    <n v="1702410"/>
    <n v="430"/>
    <s v="MOTOR VEHICLE COLLISION"/>
    <d v="2016-03-26T19:33:00"/>
    <x v="10"/>
  </r>
  <r>
    <n v="1702411"/>
    <n v="470"/>
    <s v="PARKING VIOLATION (EXCEPT ABANDONED VEHICLES)"/>
    <d v="2016-03-26T19:38:00"/>
    <x v="4"/>
  </r>
  <r>
    <n v="1702412"/>
    <n v="184"/>
    <s v="NARCOTICS, OTHER"/>
    <d v="2016-03-26T19:33:00"/>
    <x v="10"/>
  </r>
  <r>
    <n v="1702413"/>
    <n v="139"/>
    <s v="GANG GRAFFITI"/>
    <d v="2016-03-26T19:34:00"/>
    <x v="11"/>
  </r>
  <r>
    <n v="1702414"/>
    <n v="161"/>
    <s v="TRESPASS"/>
    <d v="2016-03-26T19:33:00"/>
    <x v="11"/>
  </r>
  <r>
    <n v="1702415"/>
    <n v="245"/>
    <s v="DISTURBANCE, OTHER"/>
    <d v="2016-03-26T19:31:00"/>
    <x v="11"/>
  </r>
  <r>
    <n v="1702416"/>
    <n v="281"/>
    <s v="SUSPICIOUS VEHICLE"/>
    <d v="2016-03-26T19:32:00"/>
    <x v="12"/>
  </r>
  <r>
    <n v="1702417"/>
    <n v="460"/>
    <s v="TRAFFIC (MOVING) VIOLATION"/>
    <d v="2016-03-26T20:06:00"/>
    <x v="17"/>
  </r>
  <r>
    <n v="1702418"/>
    <n v="460"/>
    <s v="TRAFFIC (MOVING) VIOLATION"/>
    <d v="2016-03-26T19:44:00"/>
    <x v="11"/>
  </r>
  <r>
    <n v="1702419"/>
    <n v="242"/>
    <s v="FIGHT DISTURBANCE"/>
    <d v="2016-03-26T19:44:00"/>
    <x v="16"/>
  </r>
  <r>
    <n v="1702420"/>
    <n v="200"/>
    <s v="ALACAD - COMMERCIAL BURGLARY (FALSE)"/>
    <d v="2016-03-26T19:55:00"/>
    <x v="7"/>
  </r>
  <r>
    <n v="1702421"/>
    <n v="280"/>
    <s v="SUSPICIOUS PERSON"/>
    <d v="2016-03-26T19:44:00"/>
    <x v="14"/>
  </r>
  <r>
    <n v="1702422"/>
    <n v="261"/>
    <s v="ANIMAL NOISE, STRAYS, BITES"/>
    <d v="2016-03-26T20:07:00"/>
    <x v="9"/>
  </r>
  <r>
    <n v="1702423"/>
    <n v="250"/>
    <s v="MISCHIEF, NUISANCE COMPLAINTS"/>
    <d v="2016-03-26T19:56:00"/>
    <x v="12"/>
  </r>
  <r>
    <n v="1702424"/>
    <n v="220"/>
    <s v="CRISIS COMPLAINT - GENERAL"/>
    <d v="2016-03-26T19:45:00"/>
    <x v="1"/>
  </r>
  <r>
    <n v="1702425"/>
    <n v="63"/>
    <s v="THEFT - CAR PROWL"/>
    <d v="2016-03-26T20:03:00"/>
    <x v="11"/>
  </r>
  <r>
    <n v="1702426"/>
    <n v="50"/>
    <s v="BURGLARY - RESIDENTIAL, UNOCCUPIED"/>
    <d v="2016-03-26T19:42:00"/>
    <x v="11"/>
  </r>
  <r>
    <n v="1702427"/>
    <n v="63"/>
    <s v="THEFT - CAR PROWL"/>
    <d v="2016-03-26T19:59:00"/>
    <x v="10"/>
  </r>
  <r>
    <n v="1702428"/>
    <n v="41"/>
    <s v="HARASSMENT, THREATS"/>
    <d v="2016-03-26T19:56:00"/>
    <x v="11"/>
  </r>
  <r>
    <n v="1702429"/>
    <n v="280"/>
    <s v="SUSPICIOUS PERSON"/>
    <d v="2016-03-26T19:41:00"/>
    <x v="9"/>
  </r>
  <r>
    <n v="1702430"/>
    <n v="200"/>
    <s v="ALACAD - COMMERCIAL BURGLARY (FALSE)"/>
    <d v="2016-03-26T19:43:00"/>
    <x v="13"/>
  </r>
  <r>
    <n v="1702431"/>
    <n v="161"/>
    <s v="TRESPASS"/>
    <d v="2016-03-26T19:46:00"/>
    <x v="6"/>
  </r>
  <r>
    <n v="1702432"/>
    <n v="63"/>
    <s v="THEFT - CAR PROWL"/>
    <d v="2016-03-26T19:56:00"/>
    <x v="10"/>
  </r>
  <r>
    <n v="1702433"/>
    <n v="250"/>
    <s v="MISCHIEF, NUISANCE COMPLAINTS"/>
    <d v="2016-03-26T20:08:00"/>
    <x v="4"/>
  </r>
  <r>
    <n v="1702434"/>
    <n v="200"/>
    <s v="ALACAD - COMMERCIAL BURGLARY (FALSE)"/>
    <d v="2016-03-26T20:09:00"/>
    <x v="3"/>
  </r>
  <r>
    <n v="1702435"/>
    <n v="220"/>
    <s v="CRISIS COMPLAINT - GENERAL"/>
    <d v="2016-03-26T20:09:00"/>
    <x v="10"/>
  </r>
  <r>
    <n v="1702436"/>
    <n v="50"/>
    <s v="BURGLARY - RESIDENTIAL, UNOCCUPIED"/>
    <d v="2016-03-26T20:09:00"/>
    <x v="11"/>
  </r>
  <r>
    <n v="1702437"/>
    <n v="201"/>
    <s v="ALACAD - RESIDENTIAL BURGLARY (FALSE)"/>
    <d v="2016-03-26T20:09:00"/>
    <x v="0"/>
  </r>
  <r>
    <n v="1702438"/>
    <n v="460"/>
    <s v="TRAFFIC (MOVING) VIOLATION"/>
    <d v="2016-03-26T20:25:00"/>
    <x v="11"/>
  </r>
  <r>
    <n v="1702439"/>
    <n v="177"/>
    <s v="LIQUOR VIOLATION - INTOXICATED PERSON"/>
    <d v="2016-03-26T20:13:00"/>
    <x v="6"/>
  </r>
  <r>
    <n v="1702440"/>
    <n v="415"/>
    <s v="BLOCKING VEHICLE"/>
    <d v="2016-03-26T20:15:00"/>
    <x v="10"/>
  </r>
  <r>
    <n v="1702441"/>
    <n v="281"/>
    <s v="SUSPICIOUS VEHICLE"/>
    <d v="2016-03-26T20:20:00"/>
    <x v="11"/>
  </r>
  <r>
    <n v="1702442"/>
    <n v="350"/>
    <s v="HAZARDS"/>
    <d v="2016-03-26T20:13:00"/>
    <x v="7"/>
  </r>
  <r>
    <n v="1702443"/>
    <n v="470"/>
    <s v="PARKING VIOLATION (EXCEPT ABANDONED VEHICLES)"/>
    <d v="2016-03-26T20:10:00"/>
    <x v="8"/>
  </r>
  <r>
    <n v="1702444"/>
    <n v="245"/>
    <s v="DISTURBANCE, OTHER"/>
    <d v="2016-03-26T20:11:00"/>
    <x v="9"/>
  </r>
  <r>
    <n v="1702445"/>
    <n v="250"/>
    <s v="MISCHIEF, NUISANCE COMPLAINTS"/>
    <d v="2016-03-26T20:21:00"/>
    <x v="8"/>
  </r>
  <r>
    <n v="1702446"/>
    <n v="177"/>
    <s v="LIQUOR VIOLATION - INTOXICATED PERSON"/>
    <d v="2016-03-26T20:30:00"/>
    <x v="10"/>
  </r>
  <r>
    <n v="1702447"/>
    <n v="280"/>
    <s v="SUSPICIOUS PERSON"/>
    <d v="2016-03-26T20:35:00"/>
    <x v="1"/>
  </r>
  <r>
    <n v="1702448"/>
    <n v="177"/>
    <s v="LIQUOR VIOLATION - INTOXICATED PERSON"/>
    <d v="2016-03-26T20:23:00"/>
    <x v="11"/>
  </r>
  <r>
    <n v="1702449"/>
    <n v="245"/>
    <s v="DISTURBANCE, OTHER"/>
    <d v="2016-03-26T20:25:00"/>
    <x v="6"/>
  </r>
  <r>
    <n v="1702450"/>
    <n v="40"/>
    <s v="ASSAULTS, OTHER"/>
    <d v="2016-03-26T20:23:00"/>
    <x v="11"/>
  </r>
  <r>
    <n v="1702451"/>
    <n v="192"/>
    <s v="MISDEMEANOR WARRANT SERVICE"/>
    <d v="2016-03-26T20:21:00"/>
    <x v="8"/>
  </r>
  <r>
    <n v="1702452"/>
    <n v="470"/>
    <s v="PARKING VIOLATION (EXCEPT ABANDONED VEHICLES)"/>
    <d v="2016-03-26T20:25:00"/>
    <x v="9"/>
  </r>
  <r>
    <n v="1702453"/>
    <n v="64"/>
    <s v="SHOPLIFT"/>
    <d v="2016-03-26T20:36:00"/>
    <x v="3"/>
  </r>
  <r>
    <n v="1702454"/>
    <n v="245"/>
    <s v="DISTURBANCE, OTHER"/>
    <d v="2016-03-26T20:42:00"/>
    <x v="0"/>
  </r>
  <r>
    <n v="1702455"/>
    <n v="430"/>
    <s v="MOTOR VEHICLE COLLISION"/>
    <d v="2016-03-26T20:36:00"/>
    <x v="1"/>
  </r>
  <r>
    <n v="1702456"/>
    <n v="41"/>
    <s v="HARASSMENT, THREATS"/>
    <d v="2016-03-26T20:32:00"/>
    <x v="0"/>
  </r>
  <r>
    <n v="1702457"/>
    <n v="470"/>
    <s v="PARKING VIOLATION (EXCEPT ABANDONED VEHICLES)"/>
    <d v="2016-03-26T20:34:00"/>
    <x v="0"/>
  </r>
  <r>
    <n v="1702458"/>
    <n v="130"/>
    <s v="PROPERTY DESTRUCTION"/>
    <d v="2016-03-26T20:33:00"/>
    <x v="2"/>
  </r>
  <r>
    <n v="1702459"/>
    <n v="470"/>
    <s v="PARKING VIOLATION (EXCEPT ABANDONED VEHICLES)"/>
    <d v="2016-03-26T20:48:00"/>
    <x v="9"/>
  </r>
  <r>
    <n v="1702460"/>
    <n v="410"/>
    <s v="ABANDONED VEHICLE"/>
    <d v="2016-03-26T20:40:00"/>
    <x v="14"/>
  </r>
  <r>
    <n v="1702461"/>
    <n v="250"/>
    <s v="MISCHIEF, NUISANCE COMPLAINTS"/>
    <d v="2016-03-26T20:50:00"/>
    <x v="0"/>
  </r>
  <r>
    <n v="1702462"/>
    <n v="171"/>
    <s v="PARKS EXCLUSION"/>
    <d v="2016-03-26T20:40:00"/>
    <x v="0"/>
  </r>
  <r>
    <n v="1702463"/>
    <n v="203"/>
    <s v="ALACAD - RESIDENTIAL PANIC (FALSE)"/>
    <d v="2016-03-26T20:55:00"/>
    <x v="3"/>
  </r>
  <r>
    <n v="1702464"/>
    <n v="245"/>
    <s v="DISTURBANCE, OTHER"/>
    <d v="2016-03-26T20:54:00"/>
    <x v="17"/>
  </r>
  <r>
    <n v="1702465"/>
    <n v="64"/>
    <s v="SHOPLIFT"/>
    <d v="2016-03-26T20:54:00"/>
    <x v="10"/>
  </r>
  <r>
    <n v="1702466"/>
    <n v="245"/>
    <s v="DISTURBANCE, OTHER"/>
    <d v="2016-03-26T20:50:00"/>
    <x v="10"/>
  </r>
  <r>
    <n v="1702467"/>
    <n v="250"/>
    <s v="MISCHIEF, NUISANCE COMPLAINTS"/>
    <d v="2016-03-26T20:50:00"/>
    <x v="11"/>
  </r>
  <r>
    <n v="1702468"/>
    <n v="250"/>
    <s v="MISCHIEF, NUISANCE COMPLAINTS"/>
    <d v="2016-03-26T20:50:00"/>
    <x v="6"/>
  </r>
  <r>
    <n v="1702469"/>
    <n v="177"/>
    <s v="LIQUOR VIOLATION - INTOXICATED PERSON"/>
    <d v="2016-03-26T21:15:00"/>
    <x v="10"/>
  </r>
  <r>
    <n v="1702470"/>
    <n v="220"/>
    <s v="CRISIS COMPLAINT - GENERAL"/>
    <d v="2016-03-26T21:00:00"/>
    <x v="12"/>
  </r>
  <r>
    <n v="1702471"/>
    <n v="470"/>
    <s v="PARKING VIOLATION (EXCEPT ABANDONED VEHICLES)"/>
    <d v="2016-03-26T21:02:00"/>
    <x v="3"/>
  </r>
  <r>
    <n v="1702472"/>
    <n v="64"/>
    <s v="SHOPLIFT"/>
    <d v="2016-03-26T21:02:00"/>
    <x v="6"/>
  </r>
  <r>
    <n v="1702473"/>
    <n v="220"/>
    <s v="CRISIS COMPLAINT - GENERAL"/>
    <d v="2016-03-26T21:06:00"/>
    <x v="8"/>
  </r>
  <r>
    <n v="1702474"/>
    <n v="470"/>
    <s v="PARKING VIOLATION (EXCEPT ABANDONED VEHICLES)"/>
    <d v="2016-03-26T21:13:00"/>
    <x v="8"/>
  </r>
  <r>
    <n v="1702475"/>
    <n v="450"/>
    <s v="DRIVING WHILE UNDER INFLUENCE (DUI)"/>
    <d v="2016-03-26T21:20:00"/>
    <x v="11"/>
  </r>
  <r>
    <n v="1702476"/>
    <n v="63"/>
    <s v="THEFT - CAR PROWL"/>
    <d v="2016-03-26T21:18:00"/>
    <x v="7"/>
  </r>
  <r>
    <n v="1702477"/>
    <n v="450"/>
    <s v="DRIVING WHILE UNDER INFLUENCE (DUI)"/>
    <d v="2016-03-26T21:22:00"/>
    <x v="4"/>
  </r>
  <r>
    <n v="1702478"/>
    <n v="460"/>
    <s v="TRAFFIC (MOVING) VIOLATION"/>
    <d v="2016-03-26T21:26:00"/>
    <x v="0"/>
  </r>
  <r>
    <n v="1702479"/>
    <n v="450"/>
    <s v="DRIVING WHILE UNDER INFLUENCE (DUI)"/>
    <d v="2016-03-26T21:21:00"/>
    <x v="9"/>
  </r>
  <r>
    <n v="1702480"/>
    <n v="280"/>
    <s v="SUSPICIOUS PERSON"/>
    <d v="2016-03-26T21:27:00"/>
    <x v="16"/>
  </r>
  <r>
    <n v="1702481"/>
    <n v="460"/>
    <s v="TRAFFIC (MOVING) VIOLATION"/>
    <d v="2016-03-26T21:23:00"/>
    <x v="11"/>
  </r>
  <r>
    <n v="1702482"/>
    <n v="280"/>
    <s v="SUSPICIOUS PERSON"/>
    <d v="2016-03-26T21:30:00"/>
    <x v="13"/>
  </r>
  <r>
    <n v="1702483"/>
    <n v="460"/>
    <s v="TRAFFIC (MOVING) VIOLATION"/>
    <d v="2016-03-26T21:39:00"/>
    <x v="10"/>
  </r>
  <r>
    <n v="1702484"/>
    <n v="460"/>
    <s v="TRAFFIC (MOVING) VIOLATION"/>
    <d v="2016-03-26T21:37:00"/>
    <x v="7"/>
  </r>
  <r>
    <n v="1702485"/>
    <n v="430"/>
    <s v="MOTOR VEHICLE COLLISION"/>
    <d v="2016-03-26T21:46:00"/>
    <x v="10"/>
  </r>
  <r>
    <n v="1702486"/>
    <n v="470"/>
    <s v="PARKING VIOLATION (EXCEPT ABANDONED VEHICLES)"/>
    <d v="2016-03-26T21:35:00"/>
    <x v="15"/>
  </r>
  <r>
    <n v="1702487"/>
    <n v="245"/>
    <s v="DISTURBANCE, OTHER"/>
    <d v="2016-03-26T21:35:00"/>
    <x v="5"/>
  </r>
  <r>
    <n v="1702488"/>
    <n v="200"/>
    <s v="ALACAD - COMMERCIAL BURGLARY (FALSE)"/>
    <d v="2016-03-26T21:55:00"/>
    <x v="0"/>
  </r>
  <r>
    <n v="1702489"/>
    <n v="280"/>
    <s v="SUSPICIOUS PERSON"/>
    <d v="2016-03-26T21:41:00"/>
    <x v="7"/>
  </r>
  <r>
    <n v="1702490"/>
    <n v="63"/>
    <s v="THEFT - CAR PROWL"/>
    <d v="2016-03-26T21:40:00"/>
    <x v="11"/>
  </r>
  <r>
    <n v="1702491"/>
    <n v="65"/>
    <s v="THEFT - MISCELLANEOUS"/>
    <d v="2016-03-26T21:40:00"/>
    <x v="13"/>
  </r>
  <r>
    <n v="1702492"/>
    <n v="177"/>
    <s v="LIQUOR VIOLATION - INTOXICATED PERSON"/>
    <d v="2016-03-26T22:09:00"/>
    <x v="0"/>
  </r>
  <r>
    <n v="1702493"/>
    <n v="246"/>
    <s v="NOISE DISTURBANCE, RESIDENTIAL"/>
    <d v="2016-03-26T22:10:00"/>
    <x v="15"/>
  </r>
  <r>
    <n v="1702494"/>
    <n v="245"/>
    <s v="DISTURBANCE, OTHER"/>
    <d v="2016-03-26T21:59:00"/>
    <x v="13"/>
  </r>
  <r>
    <n v="1702495"/>
    <n v="450"/>
    <s v="DRIVING WHILE UNDER INFLUENCE (DUI)"/>
    <d v="2016-03-26T21:52:00"/>
    <x v="14"/>
  </r>
  <r>
    <n v="1702496"/>
    <n v="245"/>
    <s v="DISTURBANCE, OTHER"/>
    <d v="2016-03-26T21:56:00"/>
    <x v="6"/>
  </r>
  <r>
    <n v="1702497"/>
    <n v="280"/>
    <s v="SUSPICIOUS PERSON"/>
    <d v="2016-03-26T21:56:00"/>
    <x v="16"/>
  </r>
  <r>
    <n v="1702498"/>
    <n v="460"/>
    <s v="TRAFFIC (MOVING) VIOLATION"/>
    <d v="2016-03-26T22:33:00"/>
    <x v="10"/>
  </r>
  <r>
    <n v="1702499"/>
    <n v="161"/>
    <s v="TRESPASS"/>
    <d v="2016-03-26T22:42:00"/>
    <x v="13"/>
  </r>
  <r>
    <n v="1702500"/>
    <n v="460"/>
    <s v="TRAFFIC (MOVING) VIOLATION"/>
    <d v="2016-03-26T22:26:00"/>
    <x v="11"/>
  </r>
  <r>
    <n v="1702501"/>
    <n v="245"/>
    <s v="DISTURBANCE, OTHER"/>
    <d v="2016-03-26T22:40:00"/>
    <x v="7"/>
  </r>
  <r>
    <n v="1702502"/>
    <n v="177"/>
    <s v="LIQUOR VIOLATION - INTOXICATED PERSON"/>
    <d v="2016-03-26T22:15:00"/>
    <x v="0"/>
  </r>
  <r>
    <n v="1702503"/>
    <n v="177"/>
    <s v="LIQUOR VIOLATION - INTOXICATED PERSON"/>
    <d v="2016-03-26T22:16:00"/>
    <x v="11"/>
  </r>
  <r>
    <n v="1702504"/>
    <n v="245"/>
    <s v="DISTURBANCE, OTHER"/>
    <d v="2016-03-26T22:21:00"/>
    <x v="1"/>
  </r>
  <r>
    <n v="1702505"/>
    <n v="280"/>
    <s v="SUSPICIOUS PERSON"/>
    <d v="2016-03-26T22:16:00"/>
    <x v="11"/>
  </r>
  <r>
    <n v="1702506"/>
    <n v="161"/>
    <s v="TRESPASS"/>
    <d v="2016-03-26T22:25:00"/>
    <x v="10"/>
  </r>
  <r>
    <n v="1702507"/>
    <n v="245"/>
    <s v="DISTURBANCE, OTHER"/>
    <d v="2016-03-26T22:23:00"/>
    <x v="16"/>
  </r>
  <r>
    <n v="1702508"/>
    <n v="280"/>
    <s v="SUSPICIOUS PERSON"/>
    <d v="2016-03-26T22:33:00"/>
    <x v="11"/>
  </r>
  <r>
    <n v="1702509"/>
    <n v="245"/>
    <s v="DISTURBANCE, OTHER"/>
    <d v="2016-03-26T22:13:00"/>
    <x v="6"/>
  </r>
  <r>
    <n v="1702510"/>
    <n v="363"/>
    <s v="MISSING PERSON"/>
    <d v="2016-03-26T22:53:00"/>
    <x v="16"/>
  </r>
  <r>
    <n v="1702511"/>
    <n v="63"/>
    <s v="THEFT - CAR PROWL"/>
    <d v="2016-03-26T22:20:00"/>
    <x v="12"/>
  </r>
  <r>
    <n v="1702513"/>
    <n v="280"/>
    <s v="SUSPICIOUS PERSON"/>
    <d v="2016-03-26T22:25:00"/>
    <x v="16"/>
  </r>
  <r>
    <n v="1702514"/>
    <n v="40"/>
    <s v="ASSAULTS, OTHER"/>
    <d v="2016-03-26T22:18:00"/>
    <x v="17"/>
  </r>
  <r>
    <n v="1702515"/>
    <n v="40"/>
    <s v="ASSAULTS, OTHER"/>
    <d v="2016-03-26T22:10:00"/>
    <x v="16"/>
  </r>
  <r>
    <n v="1702516"/>
    <n v="430"/>
    <s v="MOTOR VEHICLE COLLISION"/>
    <d v="2016-03-26T22:16:00"/>
    <x v="11"/>
  </r>
  <r>
    <n v="1702517"/>
    <n v="460"/>
    <s v="TRAFFIC (MOVING) VIOLATION"/>
    <d v="2016-03-26T22:58:00"/>
    <x v="7"/>
  </r>
  <r>
    <n v="1702518"/>
    <n v="245"/>
    <s v="DISTURBANCE, OTHER"/>
    <d v="2016-03-26T22:55:00"/>
    <x v="6"/>
  </r>
  <r>
    <n v="1702519"/>
    <n v="460"/>
    <s v="TRAFFIC (MOVING) VIOLATION"/>
    <d v="2016-03-26T22:53:00"/>
    <x v="10"/>
  </r>
  <r>
    <n v="1702520"/>
    <n v="460"/>
    <s v="TRAFFIC (MOVING) VIOLATION"/>
    <d v="2016-03-26T22:49:00"/>
    <x v="6"/>
  </r>
  <r>
    <n v="1702521"/>
    <n v="245"/>
    <s v="DISTURBANCE, OTHER"/>
    <d v="2016-03-26T22:53:00"/>
    <x v="12"/>
  </r>
  <r>
    <n v="1702522"/>
    <n v="244"/>
    <s v="NOISE DISTURBANCE"/>
    <d v="2016-03-26T22:42:00"/>
    <x v="13"/>
  </r>
  <r>
    <n v="1702523"/>
    <n v="280"/>
    <s v="SUSPICIOUS PERSON"/>
    <d v="2016-03-26T22:57:00"/>
    <x v="17"/>
  </r>
  <r>
    <n v="1702524"/>
    <n v="161"/>
    <s v="TRESPASS"/>
    <d v="2016-03-26T23:00:00"/>
    <x v="7"/>
  </r>
  <r>
    <n v="1702525"/>
    <n v="130"/>
    <s v="PROPERTY DESTRUCTION"/>
    <d v="2016-03-26T22:59:00"/>
    <x v="3"/>
  </r>
  <r>
    <n v="1702526"/>
    <n v="245"/>
    <s v="DISTURBANCE, OTHER"/>
    <d v="2016-03-26T22:44:00"/>
    <x v="16"/>
  </r>
  <r>
    <n v="1702527"/>
    <n v="280"/>
    <s v="SUSPICIOUS PERSON"/>
    <d v="2016-03-26T22:57:00"/>
    <x v="16"/>
  </r>
  <r>
    <n v="1702528"/>
    <n v="184"/>
    <s v="NARCOTICS, OTHER"/>
    <d v="2016-03-26T22:33:00"/>
    <x v="1"/>
  </r>
  <r>
    <n v="1702530"/>
    <n v="430"/>
    <s v="MOTOR VEHICLE COLLISION"/>
    <d v="2016-03-26T22:55:00"/>
    <x v="14"/>
  </r>
  <r>
    <n v="1702531"/>
    <n v="62"/>
    <s v="BICYCLE THEFT"/>
    <d v="2016-03-26T22:35:00"/>
    <x v="12"/>
  </r>
  <r>
    <n v="1702532"/>
    <n v="177"/>
    <s v="LIQUOR VIOLATION - INTOXICATED PERSON"/>
    <d v="2016-03-26T23:12:00"/>
    <x v="2"/>
  </r>
  <r>
    <n v="1702533"/>
    <n v="246"/>
    <s v="NOISE DISTURBANCE, RESIDENTIAL"/>
    <d v="2016-03-26T23:16:00"/>
    <x v="11"/>
  </r>
  <r>
    <n v="1702534"/>
    <n v="280"/>
    <s v="SUSPICIOUS PERSON"/>
    <d v="2016-03-26T23:23:00"/>
    <x v="12"/>
  </r>
  <r>
    <n v="1702535"/>
    <n v="245"/>
    <s v="DISTURBANCE, OTHER"/>
    <d v="2016-03-26T23:11:00"/>
    <x v="3"/>
  </r>
  <r>
    <n v="1702536"/>
    <n v="130"/>
    <s v="PROPERTY DESTRUCTION"/>
    <d v="2016-03-26T23:19:00"/>
    <x v="7"/>
  </r>
  <r>
    <n v="1702537"/>
    <n v="350"/>
    <s v="HAZARDS"/>
    <d v="2016-03-26T23:03:00"/>
    <x v="10"/>
  </r>
  <r>
    <n v="1702538"/>
    <n v="63"/>
    <s v="THEFT - CAR PROWL"/>
    <d v="2016-03-26T23:18:00"/>
    <x v="7"/>
  </r>
  <r>
    <n v="1702539"/>
    <n v="41"/>
    <s v="HARASSMENT, THREATS"/>
    <d v="2016-03-26T23:01:00"/>
    <x v="11"/>
  </r>
  <r>
    <n v="1702540"/>
    <n v="430"/>
    <s v="MOTOR VEHICLE COLLISION"/>
    <d v="2016-03-26T23:15:00"/>
    <x v="13"/>
  </r>
  <r>
    <n v="1702541"/>
    <n v="350"/>
    <s v="HAZARDS"/>
    <d v="2016-03-26T23:03:00"/>
    <x v="8"/>
  </r>
  <r>
    <n v="1702542"/>
    <n v="245"/>
    <s v="DISTURBANCE, OTHER"/>
    <d v="2016-03-26T23:06:00"/>
    <x v="9"/>
  </r>
  <r>
    <n v="1702544"/>
    <n v="440"/>
    <s v="MOTORIST ASSIST"/>
    <d v="2016-03-26T23:27:00"/>
    <x v="15"/>
  </r>
  <r>
    <n v="1702545"/>
    <n v="244"/>
    <s v="NOISE DISTURBANCE"/>
    <d v="2016-03-26T23:33:00"/>
    <x v="15"/>
  </r>
  <r>
    <n v="1702546"/>
    <n v="460"/>
    <s v="TRAFFIC (MOVING) VIOLATION"/>
    <d v="2016-03-26T23:20:00"/>
    <x v="6"/>
  </r>
  <r>
    <n v="1702547"/>
    <n v="250"/>
    <s v="MISCHIEF, NUISANCE COMPLAINTS"/>
    <d v="2016-03-26T23:31:00"/>
    <x v="3"/>
  </r>
  <r>
    <n v="1702549"/>
    <n v="245"/>
    <s v="DISTURBANCE, OTHER"/>
    <d v="2016-03-26T23:38:00"/>
    <x v="7"/>
  </r>
  <r>
    <n v="1702550"/>
    <n v="40"/>
    <s v="ASSAULTS, OTHER"/>
    <d v="2016-03-26T23:20:00"/>
    <x v="6"/>
  </r>
  <r>
    <n v="1702551"/>
    <n v="40"/>
    <s v="ASSAULTS, OTHER"/>
    <d v="2016-03-26T23:20:00"/>
    <x v="10"/>
  </r>
  <r>
    <n v="1702552"/>
    <n v="244"/>
    <s v="NOISE DISTURBANCE"/>
    <d v="2016-03-27T00:03:00"/>
    <x v="14"/>
  </r>
  <r>
    <n v="1702553"/>
    <n v="430"/>
    <s v="MOTOR VEHICLE COLLISION"/>
    <d v="2016-03-26T23:53:00"/>
    <x v="14"/>
  </r>
  <r>
    <n v="1702554"/>
    <n v="246"/>
    <s v="NOISE DISTURBANCE, RESIDENTIAL"/>
    <d v="2016-03-26T23:58:00"/>
    <x v="7"/>
  </r>
  <r>
    <n v="1702556"/>
    <n v="31"/>
    <s v="STRONG ARM ROBBERY"/>
    <d v="2016-03-26T23:47:00"/>
    <x v="5"/>
  </r>
  <r>
    <n v="1702557"/>
    <n v="30"/>
    <s v="ARMED ROBBERY"/>
    <d v="2016-03-26T23:57:00"/>
    <x v="4"/>
  </r>
  <r>
    <n v="1702558"/>
    <n v="71"/>
    <s v="AUTO THEFT"/>
    <d v="2016-03-26T22:32:00"/>
    <x v="11"/>
  </r>
  <r>
    <n v="1702559"/>
    <n v="430"/>
    <s v="MOTOR VEHICLE COLLISION"/>
    <d v="2016-03-26T23:42:00"/>
    <x v="2"/>
  </r>
  <r>
    <n v="1702560"/>
    <n v="161"/>
    <s v="TRESPASS"/>
    <d v="2016-03-26T23:46:00"/>
    <x v="12"/>
  </r>
  <r>
    <n v="1702561"/>
    <n v="71"/>
    <s v="AUTO THEFT"/>
    <d v="2016-03-26T23:44:00"/>
    <x v="0"/>
  </r>
  <r>
    <n v="1702562"/>
    <n v="30"/>
    <s v="ARMED ROBBERY"/>
    <d v="2016-03-26T23:52:00"/>
    <x v="11"/>
  </r>
  <r>
    <n v="1702563"/>
    <n v="280"/>
    <s v="SUSPICIOUS PERSON"/>
    <d v="2016-03-27T00:08:00"/>
    <x v="11"/>
  </r>
  <r>
    <n v="1702564"/>
    <n v="202"/>
    <s v="ALACAD - COMMERCIAL PANIC (FALSE)"/>
    <d v="2016-03-27T00:12:00"/>
    <x v="12"/>
  </r>
  <r>
    <n v="1702565"/>
    <n v="63"/>
    <s v="THEFT - CAR PROWL"/>
    <d v="2016-03-27T00:03:00"/>
    <x v="11"/>
  </r>
  <r>
    <n v="1702566"/>
    <n v="64"/>
    <s v="SHOPLIFT"/>
    <d v="2016-03-27T00:04:00"/>
    <x v="16"/>
  </r>
  <r>
    <n v="1702568"/>
    <n v="460"/>
    <s v="TRAFFIC (MOVING) VIOLATION"/>
    <d v="2016-03-27T00:26:00"/>
    <x v="13"/>
  </r>
  <r>
    <n v="1702569"/>
    <n v="250"/>
    <s v="MISCHIEF, NUISANCE COMPLAINTS"/>
    <d v="2016-03-27T00:20:00"/>
    <x v="11"/>
  </r>
  <r>
    <n v="1702570"/>
    <n v="260"/>
    <s v="ANIMALS - INJURED, DEAD, DANGEROUS"/>
    <d v="2016-03-27T00:20:00"/>
    <x v="7"/>
  </r>
  <r>
    <n v="1702571"/>
    <n v="245"/>
    <s v="DISTURBANCE, OTHER"/>
    <d v="2016-03-27T00:17:00"/>
    <x v="12"/>
  </r>
  <r>
    <n v="1702572"/>
    <n v="372"/>
    <s v="PROPERTY - FOUND (FOLLOW UP TO SPD CASE)"/>
    <d v="2016-03-27T00:10:00"/>
    <x v="14"/>
  </r>
  <r>
    <n v="1702573"/>
    <n v="200"/>
    <s v="ALACAD - COMMERCIAL BURGLARY (FALSE)"/>
    <d v="2016-03-27T00:41:00"/>
    <x v="7"/>
  </r>
  <r>
    <n v="1702574"/>
    <n v="177"/>
    <s v="LIQUOR VIOLATION - INTOXICATED PERSON"/>
    <d v="2016-03-27T00:27:00"/>
    <x v="10"/>
  </r>
  <r>
    <n v="1702575"/>
    <n v="161"/>
    <s v="TRESPASS"/>
    <d v="2016-03-27T00:36:00"/>
    <x v="11"/>
  </r>
  <r>
    <n v="1702576"/>
    <n v="200"/>
    <s v="ALACAD - COMMERCIAL BURGLARY (FALSE)"/>
    <d v="2016-03-27T00:39:00"/>
    <x v="10"/>
  </r>
  <r>
    <n v="1702577"/>
    <n v="244"/>
    <s v="NOISE DISTURBANCE"/>
    <d v="2016-03-27T00:39:00"/>
    <x v="14"/>
  </r>
  <r>
    <n v="1702578"/>
    <n v="281"/>
    <s v="SUSPICIOUS VEHICLE"/>
    <d v="2016-03-27T00:22:00"/>
    <x v="11"/>
  </r>
  <r>
    <n v="1702579"/>
    <n v="280"/>
    <s v="SUSPICIOUS PERSON"/>
    <d v="2016-03-27T00:47:00"/>
    <x v="5"/>
  </r>
  <r>
    <n v="1702580"/>
    <n v="245"/>
    <s v="DISTURBANCE, OTHER"/>
    <d v="2016-03-27T00:49:00"/>
    <x v="0"/>
  </r>
  <r>
    <n v="1702581"/>
    <n v="281"/>
    <s v="SUSPICIOUS VEHICLE"/>
    <d v="2016-03-27T00:30:00"/>
    <x v="11"/>
  </r>
  <r>
    <n v="1702583"/>
    <n v="246"/>
    <s v="NOISE DISTURBANCE, RESIDENTIAL"/>
    <d v="2016-03-27T00:28:00"/>
    <x v="9"/>
  </r>
  <r>
    <n v="1702584"/>
    <n v="430"/>
    <s v="MOTOR VEHICLE COLLISION"/>
    <d v="2016-03-27T00:38:00"/>
    <x v="3"/>
  </r>
  <r>
    <n v="1702585"/>
    <n v="430"/>
    <s v="MOTOR VEHICLE COLLISION"/>
    <d v="2016-03-27T00:39:00"/>
    <x v="17"/>
  </r>
  <r>
    <n v="1702586"/>
    <n v="470"/>
    <s v="PARKING VIOLATION (EXCEPT ABANDONED VEHICLES)"/>
    <d v="2016-03-27T00:32:00"/>
    <x v="14"/>
  </r>
  <r>
    <n v="1702587"/>
    <n v="372"/>
    <s v="PROPERTY - FOUND (FOLLOW UP TO SPD CASE)"/>
    <d v="2016-03-27T00:36:00"/>
    <x v="17"/>
  </r>
  <r>
    <n v="1702588"/>
    <n v="250"/>
    <s v="MISCHIEF, NUISANCE COMPLAINTS"/>
    <d v="2016-03-27T00:52:00"/>
    <x v="10"/>
  </r>
  <r>
    <n v="1702589"/>
    <n v="245"/>
    <s v="DISTURBANCE, OTHER"/>
    <d v="2016-03-27T00:49:00"/>
    <x v="0"/>
  </r>
  <r>
    <n v="1702590"/>
    <n v="245"/>
    <s v="DISTURBANCE, OTHER"/>
    <d v="2016-03-27T00:43:00"/>
    <x v="0"/>
  </r>
  <r>
    <n v="1702591"/>
    <n v="450"/>
    <s v="DRIVING WHILE UNDER INFLUENCE (DUI)"/>
    <d v="2016-03-27T00:49:00"/>
    <x v="14"/>
  </r>
  <r>
    <n v="1702592"/>
    <n v="201"/>
    <s v="ALACAD - RESIDENTIAL BURGLARY (FALSE)"/>
    <d v="2016-03-27T00:43:00"/>
    <x v="8"/>
  </r>
  <r>
    <n v="1702593"/>
    <n v="245"/>
    <s v="DISTURBANCE, OTHER"/>
    <d v="2016-03-27T01:02:00"/>
    <x v="3"/>
  </r>
  <r>
    <n v="1702594"/>
    <n v="139"/>
    <s v="GANG GRAFFITI"/>
    <d v="2016-03-27T00:56:00"/>
    <x v="7"/>
  </r>
  <r>
    <n v="1702595"/>
    <n v="65"/>
    <s v="THEFT - MISCELLANEOUS"/>
    <d v="2016-03-27T00:56:00"/>
    <x v="12"/>
  </r>
  <r>
    <n v="1702596"/>
    <n v="63"/>
    <s v="THEFT - CAR PROWL"/>
    <d v="2016-03-27T00:59:00"/>
    <x v="6"/>
  </r>
  <r>
    <n v="1702597"/>
    <n v="280"/>
    <s v="SUSPICIOUS PERSON"/>
    <d v="2016-03-27T01:00:00"/>
    <x v="8"/>
  </r>
  <r>
    <n v="1702598"/>
    <n v="280"/>
    <s v="SUSPICIOUS PERSON"/>
    <d v="2016-03-27T00:52:00"/>
    <x v="5"/>
  </r>
  <r>
    <n v="1702599"/>
    <n v="470"/>
    <s v="PARKING VIOLATION (EXCEPT ABANDONED VEHICLES)"/>
    <d v="2016-03-27T00:59:00"/>
    <x v="11"/>
  </r>
  <r>
    <n v="1702600"/>
    <n v="220"/>
    <s v="CRISIS COMPLAINT - GENERAL"/>
    <d v="2016-03-26T23:58:00"/>
    <x v="8"/>
  </r>
  <r>
    <n v="1702601"/>
    <n v="64"/>
    <s v="SHOPLIFT"/>
    <d v="2016-03-27T00:54:00"/>
    <x v="1"/>
  </r>
  <r>
    <n v="1702602"/>
    <n v="64"/>
    <s v="SHOPLIFT"/>
    <d v="2016-03-27T00:53:00"/>
    <x v="1"/>
  </r>
  <r>
    <n v="1702603"/>
    <n v="177"/>
    <s v="LIQUOR VIOLATION - INTOXICATED PERSON"/>
    <d v="2016-03-27T01:07:00"/>
    <x v="10"/>
  </r>
  <r>
    <n v="1702604"/>
    <n v="177"/>
    <s v="LIQUOR VIOLATION - INTOXICATED PERSON"/>
    <d v="2016-03-27T01:01:00"/>
    <x v="0"/>
  </r>
  <r>
    <n v="1702605"/>
    <n v="280"/>
    <s v="SUSPICIOUS PERSON"/>
    <d v="2016-03-27T01:01:00"/>
    <x v="14"/>
  </r>
  <r>
    <n v="1702606"/>
    <n v="430"/>
    <s v="MOTOR VEHICLE COLLISION"/>
    <d v="2016-03-27T01:02:00"/>
    <x v="7"/>
  </r>
  <r>
    <n v="1702607"/>
    <n v="245"/>
    <s v="DISTURBANCE, OTHER"/>
    <d v="2016-03-27T01:01:00"/>
    <x v="0"/>
  </r>
  <r>
    <n v="1702608"/>
    <n v="245"/>
    <s v="DISTURBANCE, OTHER"/>
    <d v="2016-03-27T00:31:00"/>
    <x v="7"/>
  </r>
  <r>
    <n v="1702609"/>
    <n v="200"/>
    <s v="ALACAD - COMMERCIAL BURGLARY (FALSE)"/>
    <d v="2016-03-27T01:01:00"/>
    <x v="8"/>
  </r>
  <r>
    <n v="1702610"/>
    <n v="245"/>
    <s v="DISTURBANCE, OTHER"/>
    <d v="2016-03-27T01:03:00"/>
    <x v="5"/>
  </r>
  <r>
    <n v="1702611"/>
    <n v="64"/>
    <s v="SHOPLIFT"/>
    <d v="2016-03-27T01:01:00"/>
    <x v="12"/>
  </r>
  <r>
    <n v="1702612"/>
    <n v="65"/>
    <s v="THEFT - MISCELLANEOUS"/>
    <d v="2016-03-27T01:00:00"/>
    <x v="7"/>
  </r>
  <r>
    <n v="1702613"/>
    <n v="245"/>
    <s v="DISTURBANCE, OTHER"/>
    <d v="2016-03-27T01:02:00"/>
    <x v="7"/>
  </r>
  <r>
    <n v="1702614"/>
    <n v="130"/>
    <s v="PROPERTY DESTRUCTION"/>
    <d v="2016-03-27T01:17:00"/>
    <x v="0"/>
  </r>
  <r>
    <n v="1702615"/>
    <n v="245"/>
    <s v="DISTURBANCE, OTHER"/>
    <d v="2016-03-27T01:15:00"/>
    <x v="17"/>
  </r>
  <r>
    <n v="1702617"/>
    <n v="177"/>
    <s v="LIQUOR VIOLATION - INTOXICATED PERSON"/>
    <d v="2016-03-27T01:22:00"/>
    <x v="13"/>
  </r>
  <r>
    <n v="1702618"/>
    <n v="250"/>
    <s v="MISCHIEF, NUISANCE COMPLAINTS"/>
    <d v="2016-03-27T01:35:00"/>
    <x v="3"/>
  </r>
  <r>
    <n v="1702619"/>
    <n v="161"/>
    <s v="TRESPASS"/>
    <d v="2016-03-27T01:27:00"/>
    <x v="11"/>
  </r>
  <r>
    <n v="1702620"/>
    <n v="161"/>
    <s v="TRESPASS"/>
    <d v="2016-03-27T01:26:00"/>
    <x v="13"/>
  </r>
  <r>
    <n v="1702621"/>
    <n v="470"/>
    <s v="PARKING VIOLATION (EXCEPT ABANDONED VEHICLES)"/>
    <d v="2016-03-27T01:29:00"/>
    <x v="7"/>
  </r>
  <r>
    <n v="1702622"/>
    <n v="74"/>
    <s v="LICENSE PLATE THEFT OR LOSS"/>
    <d v="2016-03-27T01:26:00"/>
    <x v="7"/>
  </r>
  <r>
    <n v="1702623"/>
    <n v="31"/>
    <s v="STRONG ARM ROBBERY"/>
    <d v="2016-03-27T01:25:00"/>
    <x v="4"/>
  </r>
  <r>
    <n v="1702624"/>
    <n v="281"/>
    <s v="SUSPICIOUS VEHICLE"/>
    <d v="2016-03-27T01:31:00"/>
    <x v="0"/>
  </r>
  <r>
    <n v="1702625"/>
    <n v="281"/>
    <s v="SUSPICIOUS VEHICLE"/>
    <d v="2016-03-27T01:52:00"/>
    <x v="5"/>
  </r>
  <r>
    <n v="1702626"/>
    <n v="177"/>
    <s v="LIQUOR VIOLATION - INTOXICATED PERSON"/>
    <d v="2016-03-27T01:45:00"/>
    <x v="13"/>
  </r>
  <r>
    <n v="1702627"/>
    <n v="460"/>
    <s v="TRAFFIC (MOVING) VIOLATION"/>
    <d v="2016-03-27T01:54:00"/>
    <x v="15"/>
  </r>
  <r>
    <n v="1702628"/>
    <n v="177"/>
    <s v="LIQUOR VIOLATION - INTOXICATED PERSON"/>
    <d v="2016-03-27T01:40:00"/>
    <x v="6"/>
  </r>
  <r>
    <n v="1702629"/>
    <n v="245"/>
    <s v="DISTURBANCE, OTHER"/>
    <d v="2016-03-27T01:56:00"/>
    <x v="7"/>
  </r>
  <r>
    <n v="1702630"/>
    <n v="245"/>
    <s v="DISTURBANCE, OTHER"/>
    <d v="2016-03-27T01:37:00"/>
    <x v="17"/>
  </r>
  <r>
    <n v="1702631"/>
    <n v="281"/>
    <s v="SUSPICIOUS VEHICLE"/>
    <d v="2016-03-27T01:46:00"/>
    <x v="11"/>
  </r>
  <r>
    <n v="1702632"/>
    <n v="181"/>
    <s v="NARCOTICS ACTIVITY REPORT"/>
    <d v="2016-03-27T01:46:00"/>
    <x v="10"/>
  </r>
  <r>
    <n v="1702633"/>
    <n v="244"/>
    <s v="NOISE DISTURBANCE"/>
    <d v="2016-03-27T01:42:00"/>
    <x v="12"/>
  </r>
  <r>
    <n v="1702634"/>
    <n v="244"/>
    <s v="NOISE DISTURBANCE"/>
    <d v="2016-03-27T01:56:00"/>
    <x v="8"/>
  </r>
  <r>
    <n v="1702635"/>
    <n v="430"/>
    <s v="MOTOR VEHICLE COLLISION"/>
    <d v="2016-03-27T01:41:00"/>
    <x v="5"/>
  </r>
  <r>
    <n v="1702636"/>
    <n v="460"/>
    <s v="TRAFFIC (MOVING) VIOLATION"/>
    <d v="2016-03-27T02:13:00"/>
    <x v="3"/>
  </r>
  <r>
    <n v="1702637"/>
    <n v="177"/>
    <s v="LIQUOR VIOLATION - INTOXICATED PERSON"/>
    <d v="2016-03-27T02:10:00"/>
    <x v="6"/>
  </r>
  <r>
    <n v="1702638"/>
    <n v="460"/>
    <s v="TRAFFIC (MOVING) VIOLATION"/>
    <d v="2016-03-27T02:05:00"/>
    <x v="12"/>
  </r>
  <r>
    <n v="1702639"/>
    <n v="245"/>
    <s v="DISTURBANCE, OTHER"/>
    <d v="2016-03-27T02:04:00"/>
    <x v="0"/>
  </r>
  <r>
    <n v="1702640"/>
    <n v="177"/>
    <s v="LIQUOR VIOLATION - INTOXICATED PERSON"/>
    <d v="2016-03-27T01:52:00"/>
    <x v="10"/>
  </r>
  <r>
    <n v="1702641"/>
    <n v="280"/>
    <s v="SUSPICIOUS PERSON"/>
    <d v="2016-03-27T01:53:00"/>
    <x v="17"/>
  </r>
  <r>
    <n v="1702642"/>
    <n v="244"/>
    <s v="NOISE DISTURBANCE"/>
    <d v="2016-03-27T02:03:00"/>
    <x v="15"/>
  </r>
  <r>
    <n v="1702643"/>
    <n v="245"/>
    <s v="DISTURBANCE, OTHER"/>
    <d v="2016-03-27T01:53:00"/>
    <x v="17"/>
  </r>
  <r>
    <n v="1702644"/>
    <n v="100"/>
    <s v="FRAUD (INCLUDING IDENTITY THEFT)"/>
    <d v="2016-03-27T02:07:00"/>
    <x v="11"/>
  </r>
  <r>
    <n v="1702645"/>
    <n v="177"/>
    <s v="LIQUOR VIOLATION - INTOXICATED PERSON"/>
    <d v="2016-03-27T02:15:00"/>
    <x v="9"/>
  </r>
  <r>
    <n v="1702646"/>
    <n v="460"/>
    <s v="TRAFFIC (MOVING) VIOLATION"/>
    <d v="2016-03-27T02:24:00"/>
    <x v="4"/>
  </r>
  <r>
    <n v="1702647"/>
    <n v="245"/>
    <s v="DISTURBANCE, OTHER"/>
    <d v="2016-03-27T02:21:00"/>
    <x v="11"/>
  </r>
  <r>
    <n v="1702648"/>
    <n v="440"/>
    <s v="MOTORIST ASSIST"/>
    <d v="2016-03-27T02:28:00"/>
    <x v="12"/>
  </r>
  <r>
    <n v="1702649"/>
    <n v="280"/>
    <s v="SUSPICIOUS PERSON"/>
    <d v="2016-03-27T02:22:00"/>
    <x v="2"/>
  </r>
  <r>
    <n v="1702650"/>
    <n v="460"/>
    <s v="TRAFFIC (MOVING) VIOLATION"/>
    <d v="2016-03-27T02:44:00"/>
    <x v="7"/>
  </r>
  <r>
    <n v="1702651"/>
    <n v="242"/>
    <s v="FIGHT DISTURBANCE"/>
    <d v="2016-03-27T02:46:00"/>
    <x v="6"/>
  </r>
  <r>
    <n v="1702652"/>
    <n v="460"/>
    <s v="TRAFFIC (MOVING) VIOLATION"/>
    <d v="2016-03-27T02:35:00"/>
    <x v="4"/>
  </r>
  <r>
    <n v="1702653"/>
    <n v="460"/>
    <s v="TRAFFIC (MOVING) VIOLATION"/>
    <d v="2016-03-27T02:38:00"/>
    <x v="2"/>
  </r>
  <r>
    <n v="1702654"/>
    <n v="245"/>
    <s v="DISTURBANCE, OTHER"/>
    <d v="2016-03-27T02:32:00"/>
    <x v="15"/>
  </r>
  <r>
    <n v="1702655"/>
    <n v="245"/>
    <s v="DISTURBANCE, OTHER"/>
    <d v="2016-03-27T02:41:00"/>
    <x v="13"/>
  </r>
  <r>
    <n v="1702656"/>
    <n v="130"/>
    <s v="PROPERTY DESTRUCTION"/>
    <d v="2016-03-27T02:41:00"/>
    <x v="11"/>
  </r>
  <r>
    <n v="1702657"/>
    <n v="64"/>
    <s v="SHOPLIFT"/>
    <d v="2016-03-27T02:35:00"/>
    <x v="16"/>
  </r>
  <r>
    <n v="1702658"/>
    <n v="161"/>
    <s v="TRESPASS"/>
    <d v="2016-03-27T02:55:00"/>
    <x v="17"/>
  </r>
  <r>
    <n v="1702659"/>
    <n v="201"/>
    <s v="ALACAD - RESIDENTIAL BURGLARY (FALSE)"/>
    <d v="2016-03-27T02:45:00"/>
    <x v="17"/>
  </r>
  <r>
    <n v="1702660"/>
    <n v="244"/>
    <s v="NOISE DISTURBANCE"/>
    <d v="2016-03-27T02:52:00"/>
    <x v="7"/>
  </r>
  <r>
    <n v="1702661"/>
    <n v="430"/>
    <s v="MOTOR VEHICLE COLLISION"/>
    <d v="2016-03-27T02:52:00"/>
    <x v="13"/>
  </r>
  <r>
    <n v="1702662"/>
    <n v="65"/>
    <s v="THEFT - MISCELLANEOUS"/>
    <d v="2016-03-26T23:31:00"/>
    <x v="10"/>
  </r>
  <r>
    <n v="1702663"/>
    <n v="201"/>
    <s v="ALACAD - RESIDENTIAL BURGLARY (FALSE)"/>
    <d v="2016-03-27T03:07:00"/>
    <x v="9"/>
  </r>
  <r>
    <n v="1702664"/>
    <n v="245"/>
    <s v="DISTURBANCE, OTHER"/>
    <d v="2016-03-27T03:04:00"/>
    <x v="6"/>
  </r>
  <r>
    <n v="1702665"/>
    <n v="245"/>
    <s v="DISTURBANCE, OTHER"/>
    <d v="2016-03-27T03:01:00"/>
    <x v="14"/>
  </r>
  <r>
    <n v="1702666"/>
    <n v="245"/>
    <s v="DISTURBANCE, OTHER"/>
    <d v="2016-03-27T03:22:00"/>
    <x v="10"/>
  </r>
  <r>
    <n v="1702667"/>
    <n v="460"/>
    <s v="TRAFFIC (MOVING) VIOLATION"/>
    <d v="2016-03-27T03:18:00"/>
    <x v="2"/>
  </r>
  <r>
    <n v="1702668"/>
    <n v="460"/>
    <s v="TRAFFIC (MOVING) VIOLATION"/>
    <d v="2016-03-27T03:18:00"/>
    <x v="2"/>
  </r>
  <r>
    <n v="1702669"/>
    <n v="220"/>
    <s v="CRISIS COMPLAINT - GENERAL"/>
    <d v="2016-03-27T03:11:00"/>
    <x v="12"/>
  </r>
  <r>
    <n v="1702670"/>
    <n v="40"/>
    <s v="ASSAULTS, OTHER"/>
    <d v="2016-03-27T03:18:00"/>
    <x v="6"/>
  </r>
  <r>
    <n v="1702671"/>
    <n v="460"/>
    <s v="TRAFFIC (MOVING) VIOLATION"/>
    <d v="2016-03-27T03:26:00"/>
    <x v="10"/>
  </r>
  <r>
    <n v="1702672"/>
    <n v="460"/>
    <s v="TRAFFIC (MOVING) VIOLATION"/>
    <d v="2016-03-27T03:20:00"/>
    <x v="7"/>
  </r>
  <r>
    <n v="1702673"/>
    <n v="245"/>
    <s v="DISTURBANCE, OTHER"/>
    <d v="2016-03-27T03:27:00"/>
    <x v="13"/>
  </r>
  <r>
    <n v="1702674"/>
    <n v="63"/>
    <s v="THEFT - CAR PROWL"/>
    <d v="2016-03-27T03:24:00"/>
    <x v="5"/>
  </r>
  <r>
    <n v="1702675"/>
    <n v="130"/>
    <s v="PROPERTY DESTRUCTION"/>
    <d v="2016-03-27T03:26:00"/>
    <x v="4"/>
  </r>
  <r>
    <n v="1702676"/>
    <n v="245"/>
    <s v="DISTURBANCE, OTHER"/>
    <d v="2016-03-27T03:39:00"/>
    <x v="17"/>
  </r>
  <r>
    <n v="1702677"/>
    <n v="246"/>
    <s v="NOISE DISTURBANCE, RESIDENTIAL"/>
    <d v="2016-03-27T03:39:00"/>
    <x v="1"/>
  </r>
  <r>
    <n v="1702678"/>
    <n v="63"/>
    <s v="THEFT - CAR PROWL"/>
    <d v="2016-03-27T03:32:00"/>
    <x v="11"/>
  </r>
  <r>
    <n v="1702679"/>
    <n v="430"/>
    <s v="MOTOR VEHICLE COLLISION"/>
    <d v="2016-03-27T03:36:00"/>
    <x v="7"/>
  </r>
  <r>
    <n v="1702680"/>
    <n v="177"/>
    <s v="LIQUOR VIOLATION - INTOXICATED PERSON"/>
    <d v="2016-03-27T03:49:00"/>
    <x v="13"/>
  </r>
  <r>
    <n v="1702681"/>
    <n v="73"/>
    <s v="AUTO RECOVERY"/>
    <d v="2016-03-27T03:46:00"/>
    <x v="0"/>
  </r>
  <r>
    <n v="1702682"/>
    <n v="281"/>
    <s v="SUSPICIOUS VEHICLE"/>
    <d v="2016-03-27T03:43:00"/>
    <x v="1"/>
  </r>
  <r>
    <n v="1702684"/>
    <n v="430"/>
    <s v="MOTOR VEHICLE COLLISION"/>
    <d v="2016-03-27T03:47:00"/>
    <x v="13"/>
  </r>
  <r>
    <n v="1702685"/>
    <n v="30"/>
    <s v="ARMED ROBBERY"/>
    <d v="2016-03-27T03:43:00"/>
    <x v="15"/>
  </r>
  <r>
    <n v="1702686"/>
    <n v="245"/>
    <s v="DISTURBANCE, OTHER"/>
    <d v="2016-03-27T03:44:00"/>
    <x v="6"/>
  </r>
  <r>
    <n v="1702687"/>
    <n v="201"/>
    <s v="ALACAD - RESIDENTIAL BURGLARY (FALSE)"/>
    <d v="2016-03-27T03:42:00"/>
    <x v="17"/>
  </r>
  <r>
    <n v="1702688"/>
    <n v="281"/>
    <s v="SUSPICIOUS VEHICLE"/>
    <d v="2016-03-27T03:56:00"/>
    <x v="11"/>
  </r>
  <r>
    <n v="1702689"/>
    <n v="246"/>
    <s v="NOISE DISTURBANCE, RESIDENTIAL"/>
    <d v="2016-03-27T03:58:00"/>
    <x v="14"/>
  </r>
  <r>
    <n v="1702690"/>
    <n v="200"/>
    <s v="ALACAD - COMMERCIAL BURGLARY (FALSE)"/>
    <d v="2016-03-27T03:59:00"/>
    <x v="11"/>
  </r>
  <r>
    <n v="1702691"/>
    <n v="430"/>
    <s v="MOTOR VEHICLE COLLISION"/>
    <d v="2016-03-27T03:51:00"/>
    <x v="1"/>
  </r>
  <r>
    <n v="1702692"/>
    <n v="281"/>
    <s v="SUSPICIOUS VEHICLE"/>
    <d v="2016-03-27T04:12:00"/>
    <x v="2"/>
  </r>
  <r>
    <n v="1702693"/>
    <n v="280"/>
    <s v="SUSPICIOUS PERSON"/>
    <d v="2016-03-27T04:09:00"/>
    <x v="10"/>
  </r>
  <r>
    <n v="1702694"/>
    <n v="220"/>
    <s v="CRISIS COMPLAINT - GENERAL"/>
    <d v="2016-03-27T04:06:00"/>
    <x v="11"/>
  </r>
  <r>
    <n v="1702695"/>
    <n v="450"/>
    <s v="DRIVING WHILE UNDER INFLUENCE (DUI)"/>
    <d v="2016-03-27T04:13:00"/>
    <x v="13"/>
  </r>
  <r>
    <n v="1702696"/>
    <n v="161"/>
    <s v="TRESPASS"/>
    <d v="2016-03-27T04:18:00"/>
    <x v="13"/>
  </r>
  <r>
    <n v="1702697"/>
    <n v="40"/>
    <s v="ASSAULTS, OTHER"/>
    <d v="2016-03-27T04:10:00"/>
    <x v="7"/>
  </r>
  <r>
    <n v="1702698"/>
    <n v="280"/>
    <s v="SUSPICIOUS PERSON"/>
    <d v="2016-03-27T04:10:00"/>
    <x v="10"/>
  </r>
  <r>
    <n v="1702699"/>
    <n v="130"/>
    <s v="PROPERTY DESTRUCTION"/>
    <d v="2016-03-27T04:28:00"/>
    <x v="17"/>
  </r>
  <r>
    <n v="1702700"/>
    <n v="201"/>
    <s v="ALACAD - RESIDENTIAL BURGLARY (FALSE)"/>
    <d v="2016-03-27T04:30:00"/>
    <x v="3"/>
  </r>
  <r>
    <n v="1702701"/>
    <n v="245"/>
    <s v="DISTURBANCE, OTHER"/>
    <d v="2016-03-27T04:37:00"/>
    <x v="11"/>
  </r>
  <r>
    <n v="1702702"/>
    <n v="184"/>
    <s v="NARCOTICS, OTHER"/>
    <d v="2016-03-27T04:35:00"/>
    <x v="7"/>
  </r>
  <r>
    <n v="1702703"/>
    <n v="280"/>
    <s v="SUSPICIOUS PERSON"/>
    <d v="2016-03-27T04:48:00"/>
    <x v="11"/>
  </r>
  <r>
    <n v="1702704"/>
    <n v="52"/>
    <s v="BURGLARY - COMMERCIAL"/>
    <d v="2016-03-27T04:48:00"/>
    <x v="12"/>
  </r>
  <r>
    <n v="1702705"/>
    <n v="177"/>
    <s v="LIQUOR VIOLATION - INTOXICATED PERSON"/>
    <d v="2016-03-27T04:58:00"/>
    <x v="10"/>
  </r>
  <r>
    <n v="1702706"/>
    <n v="250"/>
    <s v="MISCHIEF, NUISANCE COMPLAINTS"/>
    <d v="2016-03-27T04:56:00"/>
    <x v="13"/>
  </r>
  <r>
    <n v="1702707"/>
    <n v="280"/>
    <s v="SUSPICIOUS PERSON"/>
    <d v="2016-03-27T05:04:00"/>
    <x v="11"/>
  </r>
  <r>
    <n v="1702708"/>
    <n v="242"/>
    <s v="FIGHT DISTURBANCE"/>
    <d v="2016-03-27T04:57:00"/>
    <x v="13"/>
  </r>
  <r>
    <n v="1702709"/>
    <n v="40"/>
    <s v="ASSAULTS, OTHER"/>
    <d v="2016-03-27T04:56:00"/>
    <x v="3"/>
  </r>
  <r>
    <n v="1702710"/>
    <n v="280"/>
    <s v="SUSPICIOUS PERSON"/>
    <d v="2016-03-27T04:59:00"/>
    <x v="16"/>
  </r>
  <r>
    <n v="1702712"/>
    <n v="350"/>
    <s v="HAZARDS"/>
    <d v="2016-03-27T05:15:00"/>
    <x v="6"/>
  </r>
  <r>
    <n v="1702713"/>
    <n v="201"/>
    <s v="ALACAD - RESIDENTIAL BURGLARY (FALSE)"/>
    <d v="2016-03-27T05:09:00"/>
    <x v="0"/>
  </r>
  <r>
    <n v="1702714"/>
    <n v="245"/>
    <s v="DISTURBANCE, OTHER"/>
    <d v="2016-03-27T05:08:00"/>
    <x v="13"/>
  </r>
  <r>
    <n v="1702715"/>
    <n v="282"/>
    <s v="SUSPICIOUS CIRCUMSTANCES - BUILDING (OPEN DOOR, ETC.)"/>
    <d v="2016-03-27T05:05:00"/>
    <x v="17"/>
  </r>
  <r>
    <n v="1702716"/>
    <n v="245"/>
    <s v="DISTURBANCE, OTHER"/>
    <d v="2016-03-27T05:01:00"/>
    <x v="7"/>
  </r>
  <r>
    <n v="1702717"/>
    <n v="177"/>
    <s v="LIQUOR VIOLATION - INTOXICATED PERSON"/>
    <d v="2016-03-27T05:12:00"/>
    <x v="5"/>
  </r>
  <r>
    <n v="1702718"/>
    <n v="74"/>
    <s v="LICENSE PLATE THEFT OR LOSS"/>
    <d v="2016-03-27T05:21:00"/>
    <x v="14"/>
  </r>
  <r>
    <n v="1702719"/>
    <n v="161"/>
    <s v="TRESPASS"/>
    <d v="2016-03-27T05:25:00"/>
    <x v="3"/>
  </r>
  <r>
    <n v="1702720"/>
    <n v="141"/>
    <s v="LEWD CONDUCT"/>
    <d v="2016-03-27T05:24:00"/>
    <x v="13"/>
  </r>
  <r>
    <n v="1702721"/>
    <n v="71"/>
    <s v="AUTO THEFT"/>
    <d v="2016-03-26T22:26:00"/>
    <x v="11"/>
  </r>
  <r>
    <n v="1702722"/>
    <n v="220"/>
    <s v="CRISIS COMPLAINT - GENERAL"/>
    <d v="2016-03-27T05:47:00"/>
    <x v="10"/>
  </r>
  <r>
    <n v="1702723"/>
    <n v="245"/>
    <s v="DISTURBANCE, OTHER"/>
    <d v="2016-03-27T05:44:00"/>
    <x v="14"/>
  </r>
  <r>
    <n v="1702724"/>
    <n v="245"/>
    <s v="DISTURBANCE, OTHER"/>
    <d v="2016-03-27T05:56:00"/>
    <x v="6"/>
  </r>
  <r>
    <n v="1702725"/>
    <n v="201"/>
    <s v="ALACAD - RESIDENTIAL BURGLARY (FALSE)"/>
    <d v="2016-03-27T05:50:00"/>
    <x v="16"/>
  </r>
  <r>
    <n v="1702726"/>
    <n v="63"/>
    <s v="THEFT - CAR PROWL"/>
    <d v="2016-03-27T05:34:00"/>
    <x v="2"/>
  </r>
  <r>
    <n v="1702727"/>
    <n v="192"/>
    <s v="MISDEMEANOR WARRANT SERVICE"/>
    <d v="2016-03-27T05:35:00"/>
    <x v="2"/>
  </r>
  <r>
    <n v="1702728"/>
    <n v="200"/>
    <s v="ALACAD - COMMERCIAL BURGLARY (FALSE)"/>
    <d v="2016-03-27T05:36:00"/>
    <x v="11"/>
  </r>
  <r>
    <n v="1702729"/>
    <n v="430"/>
    <s v="MOTOR VEHICLE COLLISION"/>
    <d v="2016-03-27T05:32:00"/>
    <x v="16"/>
  </r>
  <r>
    <n v="1702731"/>
    <n v="430"/>
    <s v="MOTOR VEHICLE COLLISION"/>
    <d v="2016-03-27T05:36:00"/>
    <x v="3"/>
  </r>
  <r>
    <n v="1702732"/>
    <n v="200"/>
    <s v="ALACAD - COMMERCIAL BURGLARY (FALSE)"/>
    <d v="2016-03-27T06:11:00"/>
    <x v="12"/>
  </r>
  <r>
    <n v="1702733"/>
    <n v="201"/>
    <s v="ALACAD - RESIDENTIAL BURGLARY (FALSE)"/>
    <d v="2016-03-27T05:54:00"/>
    <x v="5"/>
  </r>
  <r>
    <n v="1702734"/>
    <n v="50"/>
    <s v="BURGLARY - RESIDENTIAL, UNOCCUPIED"/>
    <d v="2016-03-27T06:17:00"/>
    <x v="16"/>
  </r>
  <r>
    <n v="1702735"/>
    <n v="161"/>
    <s v="TRESPASS"/>
    <d v="2016-03-27T06:20:00"/>
    <x v="15"/>
  </r>
  <r>
    <n v="1702736"/>
    <n v="220"/>
    <s v="CRISIS COMPLAINT - GENERAL"/>
    <d v="2016-03-27T06:02:00"/>
    <x v="6"/>
  </r>
  <r>
    <n v="1702737"/>
    <n v="460"/>
    <s v="TRAFFIC (MOVING) VIOLATION"/>
    <d v="2016-03-27T06:26:00"/>
    <x v="2"/>
  </r>
  <r>
    <n v="1702738"/>
    <n v="245"/>
    <s v="DISTURBANCE, OTHER"/>
    <d v="2016-03-27T06:28:00"/>
    <x v="1"/>
  </r>
  <r>
    <n v="1702739"/>
    <n v="280"/>
    <s v="SUSPICIOUS PERSON"/>
    <d v="2016-03-27T06:43:00"/>
    <x v="11"/>
  </r>
  <r>
    <n v="1702740"/>
    <n v="281"/>
    <s v="SUSPICIOUS VEHICLE"/>
    <d v="2016-03-27T06:31:00"/>
    <x v="17"/>
  </r>
  <r>
    <n v="1702741"/>
    <n v="280"/>
    <s v="SUSPICIOUS PERSON"/>
    <d v="2016-03-27T06:45:00"/>
    <x v="9"/>
  </r>
  <r>
    <n v="1702742"/>
    <n v="71"/>
    <s v="AUTO THEFT"/>
    <d v="2016-03-27T06:35:00"/>
    <x v="12"/>
  </r>
  <r>
    <n v="1702743"/>
    <n v="282"/>
    <s v="SUSPICIOUS CIRCUMSTANCES - BUILDING (OPEN DOOR, ETC.)"/>
    <d v="2016-03-27T06:30:00"/>
    <x v="13"/>
  </r>
  <r>
    <n v="1702744"/>
    <n v="220"/>
    <s v="CRISIS COMPLAINT - GENERAL"/>
    <d v="2016-03-27T06:50:00"/>
    <x v="5"/>
  </r>
  <r>
    <n v="1702745"/>
    <n v="450"/>
    <s v="DRIVING WHILE UNDER INFLUENCE (DUI)"/>
    <d v="2016-03-27T06:53:00"/>
    <x v="4"/>
  </r>
  <r>
    <n v="1702746"/>
    <n v="203"/>
    <s v="ALACAD - RESIDENTIAL PANIC (FALSE)"/>
    <d v="2016-03-27T07:02:00"/>
    <x v="5"/>
  </r>
  <r>
    <n v="1702747"/>
    <n v="245"/>
    <s v="DISTURBANCE, OTHER"/>
    <d v="2016-03-27T07:04:00"/>
    <x v="1"/>
  </r>
  <r>
    <n v="1702748"/>
    <n v="245"/>
    <s v="DISTURBANCE, OTHER"/>
    <d v="2016-03-27T07:03:00"/>
    <x v="16"/>
  </r>
  <r>
    <n v="1702749"/>
    <n v="202"/>
    <s v="ALACAD - COMMERCIAL PANIC (FALSE)"/>
    <d v="2016-03-27T07:21:00"/>
    <x v="6"/>
  </r>
  <r>
    <n v="1702750"/>
    <n v="245"/>
    <s v="DISTURBANCE, OTHER"/>
    <d v="2016-03-27T07:19:00"/>
    <x v="16"/>
  </r>
  <r>
    <n v="1702751"/>
    <n v="250"/>
    <s v="MISCHIEF, NUISANCE COMPLAINTS"/>
    <d v="2016-03-27T07:33:00"/>
    <x v="13"/>
  </r>
  <r>
    <n v="1702752"/>
    <n v="201"/>
    <s v="ALACAD - RESIDENTIAL BURGLARY (FALSE)"/>
    <d v="2016-03-27T07:35:00"/>
    <x v="14"/>
  </r>
  <r>
    <n v="1702753"/>
    <n v="161"/>
    <s v="TRESPASS"/>
    <d v="2016-03-27T07:46:00"/>
    <x v="6"/>
  </r>
  <r>
    <n v="1702754"/>
    <n v="201"/>
    <s v="ALACAD - RESIDENTIAL BURGLARY (FALSE)"/>
    <d v="2016-03-27T07:43:00"/>
    <x v="0"/>
  </r>
  <r>
    <n v="1702755"/>
    <n v="63"/>
    <s v="THEFT - CAR PROWL"/>
    <d v="2016-03-27T07:43:00"/>
    <x v="11"/>
  </r>
  <r>
    <n v="1702756"/>
    <n v="161"/>
    <s v="TRESPASS"/>
    <d v="2016-03-27T07:57:00"/>
    <x v="10"/>
  </r>
  <r>
    <n v="1702757"/>
    <n v="63"/>
    <s v="THEFT - CAR PROWL"/>
    <d v="2016-03-27T07:54:00"/>
    <x v="4"/>
  </r>
  <r>
    <n v="1702758"/>
    <n v="280"/>
    <s v="SUSPICIOUS PERSON"/>
    <d v="2016-03-27T08:14:00"/>
    <x v="12"/>
  </r>
  <r>
    <n v="1702759"/>
    <n v="470"/>
    <s v="PARKING VIOLATION (EXCEPT ABANDONED VEHICLES)"/>
    <d v="2016-03-27T08:02:00"/>
    <x v="9"/>
  </r>
  <r>
    <n v="1702760"/>
    <n v="280"/>
    <s v="SUSPICIOUS PERSON"/>
    <d v="2016-03-27T08:14:00"/>
    <x v="7"/>
  </r>
  <r>
    <n v="1702761"/>
    <n v="280"/>
    <s v="SUSPICIOUS PERSON"/>
    <d v="2016-03-27T08:28:00"/>
    <x v="14"/>
  </r>
  <r>
    <n v="1702762"/>
    <n v="460"/>
    <s v="TRAFFIC (MOVING) VIOLATION"/>
    <d v="2016-03-27T08:26:00"/>
    <x v="11"/>
  </r>
  <r>
    <n v="1702763"/>
    <n v="161"/>
    <s v="TRESPASS"/>
    <d v="2016-03-27T08:31:00"/>
    <x v="3"/>
  </r>
  <r>
    <n v="1702764"/>
    <n v="280"/>
    <s v="SUSPICIOUS PERSON"/>
    <d v="2016-03-27T08:30:00"/>
    <x v="14"/>
  </r>
  <r>
    <n v="1702765"/>
    <n v="281"/>
    <s v="SUSPICIOUS VEHICLE"/>
    <d v="2016-03-27T08:35:00"/>
    <x v="8"/>
  </r>
  <r>
    <n v="1702766"/>
    <n v="460"/>
    <s v="TRAFFIC (MOVING) VIOLATION"/>
    <d v="2016-03-27T08:53:00"/>
    <x v="4"/>
  </r>
  <r>
    <n v="1702767"/>
    <n v="470"/>
    <s v="PARKING VIOLATION (EXCEPT ABANDONED VEHICLES)"/>
    <d v="2016-03-27T08:52:00"/>
    <x v="12"/>
  </r>
  <r>
    <n v="1702768"/>
    <n v="460"/>
    <s v="TRAFFIC (MOVING) VIOLATION"/>
    <d v="2016-03-27T08:49:00"/>
    <x v="11"/>
  </r>
  <r>
    <n v="1702769"/>
    <n v="161"/>
    <s v="TRESPASS"/>
    <d v="2016-03-27T08:52:00"/>
    <x v="3"/>
  </r>
  <r>
    <n v="1702770"/>
    <n v="440"/>
    <s v="MOTORIST ASSIST"/>
    <d v="2016-03-27T08:59:00"/>
    <x v="11"/>
  </r>
  <r>
    <n v="1702771"/>
    <n v="161"/>
    <s v="TRESPASS"/>
    <d v="2016-03-27T09:00:00"/>
    <x v="11"/>
  </r>
  <r>
    <n v="1702772"/>
    <n v="280"/>
    <s v="SUSPICIOUS PERSON"/>
    <d v="2016-03-27T08:53:00"/>
    <x v="3"/>
  </r>
  <r>
    <n v="1702773"/>
    <n v="220"/>
    <s v="CRISIS COMPLAINT - GENERAL"/>
    <d v="2016-03-27T08:58:00"/>
    <x v="6"/>
  </r>
  <r>
    <n v="1702774"/>
    <n v="161"/>
    <s v="TRESPASS"/>
    <d v="2016-03-27T09:08:00"/>
    <x v="11"/>
  </r>
  <r>
    <n v="1702775"/>
    <n v="281"/>
    <s v="SUSPICIOUS VEHICLE"/>
    <d v="2016-03-27T09:08:00"/>
    <x v="15"/>
  </r>
  <r>
    <n v="1702776"/>
    <n v="201"/>
    <s v="ALACAD - RESIDENTIAL BURGLARY (FALSE)"/>
    <d v="2016-03-27T09:13:00"/>
    <x v="3"/>
  </r>
  <r>
    <n v="1702777"/>
    <n v="161"/>
    <s v="TRESPASS"/>
    <d v="2016-03-27T09:24:00"/>
    <x v="17"/>
  </r>
  <r>
    <n v="1702778"/>
    <n v="245"/>
    <s v="DISTURBANCE, OTHER"/>
    <d v="2016-03-27T09:16:00"/>
    <x v="6"/>
  </r>
  <r>
    <n v="1702779"/>
    <n v="242"/>
    <s v="FIGHT DISTURBANCE"/>
    <d v="2016-03-27T09:10:00"/>
    <x v="11"/>
  </r>
  <r>
    <n v="1702780"/>
    <n v="245"/>
    <s v="DISTURBANCE, OTHER"/>
    <d v="2016-03-27T09:25:00"/>
    <x v="17"/>
  </r>
  <r>
    <n v="1702781"/>
    <n v="245"/>
    <s v="DISTURBANCE, OTHER"/>
    <d v="2016-03-27T09:28:00"/>
    <x v="11"/>
  </r>
  <r>
    <n v="1702782"/>
    <n v="201"/>
    <s v="ALACAD - RESIDENTIAL BURGLARY (FALSE)"/>
    <d v="2016-03-27T09:29:00"/>
    <x v="3"/>
  </r>
  <r>
    <n v="1702783"/>
    <n v="40"/>
    <s v="ASSAULTS, OTHER"/>
    <d v="2016-03-27T09:35:00"/>
    <x v="8"/>
  </r>
  <r>
    <n v="1702784"/>
    <n v="161"/>
    <s v="TRESPASS"/>
    <d v="2016-03-27T09:37:00"/>
    <x v="10"/>
  </r>
  <r>
    <n v="1702785"/>
    <n v="470"/>
    <s v="PARKING VIOLATION (EXCEPT ABANDONED VEHICLES)"/>
    <d v="2016-03-27T09:34:00"/>
    <x v="14"/>
  </r>
  <r>
    <n v="1702786"/>
    <n v="40"/>
    <s v="ASSAULTS, OTHER"/>
    <d v="2016-03-27T09:49:00"/>
    <x v="13"/>
  </r>
  <r>
    <n v="1702787"/>
    <n v="330"/>
    <s v="CASUALTY (NON CRIMINAL/TRAFFIC) - MAN DOWN, SICK PERSONS, INJURED, DOA)"/>
    <d v="2016-03-27T09:55:00"/>
    <x v="0"/>
  </r>
  <r>
    <n v="1702788"/>
    <n v="203"/>
    <s v="ALACAD - RESIDENTIAL PANIC (FALSE)"/>
    <d v="2016-03-27T10:07:00"/>
    <x v="8"/>
  </r>
  <r>
    <n v="1702789"/>
    <n v="280"/>
    <s v="SUSPICIOUS PERSON"/>
    <d v="2016-03-27T10:05:00"/>
    <x v="15"/>
  </r>
  <r>
    <n v="1702790"/>
    <n v="65"/>
    <s v="THEFT - MISCELLANEOUS"/>
    <d v="2016-03-27T10:05:00"/>
    <x v="12"/>
  </r>
  <r>
    <n v="1702791"/>
    <n v="30"/>
    <s v="ARMED ROBBERY"/>
    <d v="2016-03-27T10:04:00"/>
    <x v="14"/>
  </r>
  <r>
    <n v="1702792"/>
    <n v="161"/>
    <s v="TRESPASS"/>
    <d v="2016-03-27T10:15:00"/>
    <x v="7"/>
  </r>
  <r>
    <n v="1702793"/>
    <n v="460"/>
    <s v="TRAFFIC (MOVING) VIOLATION"/>
    <d v="2016-03-27T10:21:00"/>
    <x v="8"/>
  </r>
  <r>
    <n v="1702794"/>
    <n v="350"/>
    <s v="HAZARDS"/>
    <d v="2016-03-27T10:19:00"/>
    <x v="13"/>
  </r>
  <r>
    <n v="1702795"/>
    <n v="200"/>
    <s v="ALACAD - COMMERCIAL BURGLARY (FALSE)"/>
    <d v="2016-03-27T10:23:00"/>
    <x v="12"/>
  </r>
  <r>
    <n v="1702796"/>
    <n v="200"/>
    <s v="ALACAD - COMMERCIAL BURGLARY (FALSE)"/>
    <d v="2016-03-27T10:18:00"/>
    <x v="6"/>
  </r>
  <r>
    <n v="1702797"/>
    <n v="130"/>
    <s v="PROPERTY DESTRUCTION"/>
    <d v="2016-03-27T10:14:00"/>
    <x v="6"/>
  </r>
  <r>
    <n v="1702798"/>
    <n v="245"/>
    <s v="DISTURBANCE, OTHER"/>
    <d v="2016-03-27T10:24:00"/>
    <x v="6"/>
  </r>
  <r>
    <n v="1702799"/>
    <n v="161"/>
    <s v="TRESPASS"/>
    <d v="2016-03-27T10:33:00"/>
    <x v="6"/>
  </r>
  <r>
    <n v="1702800"/>
    <n v="460"/>
    <s v="TRAFFIC (MOVING) VIOLATION"/>
    <d v="2016-03-27T10:25:00"/>
    <x v="12"/>
  </r>
  <r>
    <n v="1702801"/>
    <n v="40"/>
    <s v="ASSAULTS, OTHER"/>
    <d v="2016-03-27T10:20:00"/>
    <x v="9"/>
  </r>
  <r>
    <n v="1702802"/>
    <n v="280"/>
    <s v="SUSPICIOUS PERSON"/>
    <d v="2016-03-27T10:23:00"/>
    <x v="3"/>
  </r>
  <r>
    <n v="1702803"/>
    <n v="430"/>
    <s v="MOTOR VEHICLE COLLISION"/>
    <d v="2016-03-27T10:38:00"/>
    <x v="12"/>
  </r>
  <r>
    <n v="1702804"/>
    <n v="372"/>
    <s v="PROPERTY - FOUND (FOLLOW UP TO SPD CASE)"/>
    <d v="2016-03-27T10:50:00"/>
    <x v="17"/>
  </r>
  <r>
    <n v="1702805"/>
    <n v="280"/>
    <s v="SUSPICIOUS PERSON"/>
    <d v="2016-03-27T10:42:00"/>
    <x v="9"/>
  </r>
  <r>
    <n v="1702806"/>
    <n v="372"/>
    <s v="PROPERTY - FOUND (FOLLOW UP TO SPD CASE)"/>
    <d v="2016-03-27T10:47:00"/>
    <x v="17"/>
  </r>
  <r>
    <n v="1702807"/>
    <n v="245"/>
    <s v="DISTURBANCE, OTHER"/>
    <d v="2016-03-27T10:49:00"/>
    <x v="10"/>
  </r>
  <r>
    <n v="1702808"/>
    <n v="470"/>
    <s v="PARKING VIOLATION (EXCEPT ABANDONED VEHICLES)"/>
    <d v="2016-03-27T10:55:00"/>
    <x v="5"/>
  </r>
  <r>
    <n v="1702809"/>
    <n v="470"/>
    <s v="PARKING VIOLATION (EXCEPT ABANDONED VEHICLES)"/>
    <d v="2016-03-27T10:56:00"/>
    <x v="12"/>
  </r>
  <r>
    <n v="1702810"/>
    <n v="245"/>
    <s v="DISTURBANCE, OTHER"/>
    <d v="2016-03-27T11:11:00"/>
    <x v="10"/>
  </r>
  <r>
    <n v="1702811"/>
    <n v="188"/>
    <s v="MARIJUANA PUBLIC USE (NOT DISPENSARY)"/>
    <d v="2016-03-27T11:13:00"/>
    <x v="10"/>
  </r>
  <r>
    <n v="1702812"/>
    <n v="282"/>
    <s v="SUSPICIOUS CIRCUMSTANCES - BUILDING (OPEN DOOR, ETC.)"/>
    <d v="2016-03-27T11:09:00"/>
    <x v="17"/>
  </r>
  <r>
    <n v="1702813"/>
    <n v="450"/>
    <s v="DRIVING WHILE UNDER INFLUENCE (DUI)"/>
    <d v="2016-03-27T11:24:00"/>
    <x v="3"/>
  </r>
  <r>
    <n v="1702814"/>
    <n v="470"/>
    <s v="PARKING VIOLATION (EXCEPT ABANDONED VEHICLES)"/>
    <d v="2016-03-27T11:15:00"/>
    <x v="10"/>
  </r>
  <r>
    <n v="1702815"/>
    <n v="50"/>
    <s v="BURGLARY - RESIDENTIAL, UNOCCUPIED"/>
    <d v="2016-03-27T11:17:00"/>
    <x v="14"/>
  </r>
  <r>
    <n v="1702816"/>
    <n v="250"/>
    <s v="MISCHIEF, NUISANCE COMPLAINTS"/>
    <d v="2016-03-27T11:26:00"/>
    <x v="11"/>
  </r>
  <r>
    <n v="1702817"/>
    <n v="71"/>
    <s v="AUTO THEFT"/>
    <d v="2016-03-27T11:29:00"/>
    <x v="17"/>
  </r>
  <r>
    <n v="1702818"/>
    <n v="63"/>
    <s v="THEFT - CAR PROWL"/>
    <d v="2016-03-27T11:25:00"/>
    <x v="4"/>
  </r>
  <r>
    <n v="1702819"/>
    <n v="460"/>
    <s v="TRAFFIC (MOVING) VIOLATION"/>
    <d v="2016-03-27T11:26:00"/>
    <x v="11"/>
  </r>
  <r>
    <n v="1702820"/>
    <n v="64"/>
    <s v="SHOPLIFT"/>
    <d v="2016-03-27T11:21:00"/>
    <x v="11"/>
  </r>
  <r>
    <n v="1702821"/>
    <n v="350"/>
    <s v="HAZARDS"/>
    <d v="2016-03-27T11:42:00"/>
    <x v="11"/>
  </r>
  <r>
    <n v="1702822"/>
    <n v="280"/>
    <s v="SUSPICIOUS PERSON"/>
    <d v="2016-03-27T11:32:00"/>
    <x v="12"/>
  </r>
  <r>
    <n v="1702823"/>
    <n v="470"/>
    <s v="PARKING VIOLATION (EXCEPT ABANDONED VEHICLES)"/>
    <d v="2016-03-27T11:37:00"/>
    <x v="5"/>
  </r>
  <r>
    <n v="1702824"/>
    <n v="63"/>
    <s v="THEFT - CAR PROWL"/>
    <d v="2016-03-27T11:43:00"/>
    <x v="10"/>
  </r>
  <r>
    <n v="1702825"/>
    <n v="51"/>
    <s v="BURGLARY - RESIDENTIAL, OCCUPIED"/>
    <d v="2016-03-27T11:31:00"/>
    <x v="11"/>
  </r>
  <r>
    <n v="1702826"/>
    <n v="130"/>
    <s v="PROPERTY DESTRUCTION"/>
    <d v="2016-03-27T11:40:00"/>
    <x v="12"/>
  </r>
  <r>
    <n v="1702827"/>
    <n v="250"/>
    <s v="MISCHIEF, NUISANCE COMPLAINTS"/>
    <d v="2016-03-27T11:41:00"/>
    <x v="7"/>
  </r>
  <r>
    <n v="1702828"/>
    <n v="200"/>
    <s v="ALACAD - COMMERCIAL BURGLARY (FALSE)"/>
    <d v="2016-03-27T11:48:00"/>
    <x v="11"/>
  </r>
  <r>
    <n v="1702829"/>
    <n v="245"/>
    <s v="DISTURBANCE, OTHER"/>
    <d v="2016-03-27T11:50:00"/>
    <x v="6"/>
  </r>
  <r>
    <n v="1702830"/>
    <n v="220"/>
    <s v="CRISIS COMPLAINT - GENERAL"/>
    <d v="2016-03-27T11:45:00"/>
    <x v="7"/>
  </r>
  <r>
    <n v="1702831"/>
    <n v="201"/>
    <s v="ALACAD - RESIDENTIAL BURGLARY (FALSE)"/>
    <d v="2016-03-27T11:59:00"/>
    <x v="4"/>
  </r>
  <r>
    <n v="1702832"/>
    <n v="245"/>
    <s v="DISTURBANCE, OTHER"/>
    <d v="2016-03-27T11:54:00"/>
    <x v="12"/>
  </r>
  <r>
    <n v="1702833"/>
    <n v="245"/>
    <s v="DISTURBANCE, OTHER"/>
    <d v="2016-03-27T11:59:00"/>
    <x v="11"/>
  </r>
  <r>
    <n v="1702834"/>
    <n v="280"/>
    <s v="SUSPICIOUS PERSON"/>
    <d v="2016-03-27T11:53:00"/>
    <x v="12"/>
  </r>
  <r>
    <n v="1702835"/>
    <n v="161"/>
    <s v="TRESPASS"/>
    <d v="2016-03-27T11:54:00"/>
    <x v="10"/>
  </r>
  <r>
    <n v="1702836"/>
    <n v="200"/>
    <s v="ALACAD - COMMERCIAL BURGLARY (FALSE)"/>
    <d v="2016-03-27T11:54:00"/>
    <x v="12"/>
  </r>
  <r>
    <n v="1702837"/>
    <n v="470"/>
    <s v="PARKING VIOLATION (EXCEPT ABANDONED VEHICLES)"/>
    <d v="2016-03-27T11:59:00"/>
    <x v="12"/>
  </r>
  <r>
    <n v="1702838"/>
    <n v="470"/>
    <s v="PARKING VIOLATION (EXCEPT ABANDONED VEHICLES)"/>
    <d v="2016-03-27T12:08:00"/>
    <x v="3"/>
  </r>
  <r>
    <n v="1702839"/>
    <n v="280"/>
    <s v="SUSPICIOUS PERSON"/>
    <d v="2016-03-27T12:06:00"/>
    <x v="6"/>
  </r>
  <r>
    <n v="1702840"/>
    <n v="244"/>
    <s v="NOISE DISTURBANCE"/>
    <d v="2016-03-27T12:09:00"/>
    <x v="13"/>
  </r>
  <r>
    <n v="1702841"/>
    <n v="250"/>
    <s v="MISCHIEF, NUISANCE COMPLAINTS"/>
    <d v="2016-03-27T12:19:00"/>
    <x v="10"/>
  </r>
  <r>
    <n v="1702842"/>
    <n v="245"/>
    <s v="DISTURBANCE, OTHER"/>
    <d v="2016-03-27T12:13:00"/>
    <x v="1"/>
  </r>
  <r>
    <n v="1702843"/>
    <n v="470"/>
    <s v="PARKING VIOLATION (EXCEPT ABANDONED VEHICLES)"/>
    <d v="2016-03-27T12:27:00"/>
    <x v="11"/>
  </r>
  <r>
    <n v="1702844"/>
    <n v="430"/>
    <s v="MOTOR VEHICLE COLLISION"/>
    <d v="2016-03-27T12:15:00"/>
    <x v="14"/>
  </r>
  <r>
    <n v="1702845"/>
    <n v="200"/>
    <s v="ALACAD - COMMERCIAL BURGLARY (FALSE)"/>
    <d v="2016-03-27T12:32:00"/>
    <x v="12"/>
  </r>
  <r>
    <n v="1702846"/>
    <n v="186"/>
    <s v="NARCOTICS, DRUG TRAFFIC LOITERING"/>
    <d v="2016-03-27T12:24:00"/>
    <x v="11"/>
  </r>
  <r>
    <n v="1702847"/>
    <n v="430"/>
    <s v="MOTOR VEHICLE COLLISION"/>
    <d v="2016-03-27T12:25:00"/>
    <x v="2"/>
  </r>
  <r>
    <n v="1702848"/>
    <n v="63"/>
    <s v="THEFT - CAR PROWL"/>
    <d v="2016-03-27T12:28:00"/>
    <x v="3"/>
  </r>
  <r>
    <n v="1702849"/>
    <n v="430"/>
    <s v="MOTOR VEHICLE COLLISION"/>
    <d v="2016-03-27T12:20:00"/>
    <x v="11"/>
  </r>
  <r>
    <n v="1702850"/>
    <n v="65"/>
    <s v="THEFT - MISCELLANEOUS"/>
    <d v="2016-03-27T12:21:00"/>
    <x v="7"/>
  </r>
  <r>
    <n v="1702851"/>
    <n v="245"/>
    <s v="DISTURBANCE, OTHER"/>
    <d v="2016-03-27T12:44:00"/>
    <x v="6"/>
  </r>
  <r>
    <n v="1702852"/>
    <n v="470"/>
    <s v="PARKING VIOLATION (EXCEPT ABANDONED VEHICLES)"/>
    <d v="2016-03-27T12:38:00"/>
    <x v="4"/>
  </r>
  <r>
    <n v="1702853"/>
    <n v="201"/>
    <s v="ALACAD - RESIDENTIAL BURGLARY (FALSE)"/>
    <d v="2016-03-27T12:36:00"/>
    <x v="3"/>
  </r>
  <r>
    <n v="1702854"/>
    <n v="203"/>
    <s v="ALACAD - RESIDENTIAL PANIC (FALSE)"/>
    <d v="2016-03-27T12:33:00"/>
    <x v="5"/>
  </r>
  <r>
    <n v="1702855"/>
    <n v="161"/>
    <s v="TRESPASS"/>
    <d v="2016-03-27T12:37:00"/>
    <x v="0"/>
  </r>
  <r>
    <n v="1702856"/>
    <n v="250"/>
    <s v="MISCHIEF, NUISANCE COMPLAINTS"/>
    <d v="2016-03-27T12:48:00"/>
    <x v="6"/>
  </r>
  <r>
    <n v="1702857"/>
    <n v="161"/>
    <s v="TRESPASS"/>
    <d v="2016-03-27T12:54:00"/>
    <x v="11"/>
  </r>
  <r>
    <n v="1702858"/>
    <n v="250"/>
    <s v="MISCHIEF, NUISANCE COMPLAINTS"/>
    <d v="2016-03-27T12:47:00"/>
    <x v="6"/>
  </r>
  <r>
    <n v="1702859"/>
    <n v="160"/>
    <s v="PROWLER"/>
    <d v="2016-03-27T12:52:00"/>
    <x v="0"/>
  </r>
  <r>
    <n v="1702860"/>
    <n v="282"/>
    <s v="SUSPICIOUS CIRCUMSTANCES - BUILDING (OPEN DOOR, ETC.)"/>
    <d v="2016-03-27T13:00:00"/>
    <x v="17"/>
  </r>
  <r>
    <n v="1702861"/>
    <n v="63"/>
    <s v="THEFT - CAR PROWL"/>
    <d v="2016-03-27T13:00:00"/>
    <x v="4"/>
  </r>
  <r>
    <n v="1702862"/>
    <n v="130"/>
    <s v="PROPERTY DESTRUCTION"/>
    <d v="2016-03-27T12:59:00"/>
    <x v="5"/>
  </r>
  <r>
    <n v="1702863"/>
    <n v="244"/>
    <s v="NOISE DISTURBANCE"/>
    <d v="2016-03-27T12:54:00"/>
    <x v="17"/>
  </r>
  <r>
    <n v="1702864"/>
    <n v="245"/>
    <s v="DISTURBANCE, OTHER"/>
    <d v="2016-03-27T13:06:00"/>
    <x v="13"/>
  </r>
  <r>
    <n v="1702865"/>
    <n v="281"/>
    <s v="SUSPICIOUS VEHICLE"/>
    <d v="2016-03-27T13:09:00"/>
    <x v="9"/>
  </r>
  <r>
    <n v="1702866"/>
    <n v="281"/>
    <s v="SUSPICIOUS VEHICLE"/>
    <d v="2016-03-27T13:09:00"/>
    <x v="12"/>
  </r>
  <r>
    <n v="1702867"/>
    <n v="31"/>
    <s v="STRONG ARM ROBBERY"/>
    <d v="2016-03-27T13:06:00"/>
    <x v="17"/>
  </r>
  <r>
    <n v="1702868"/>
    <n v="200"/>
    <s v="ALACAD - COMMERCIAL BURGLARY (FALSE)"/>
    <d v="2016-03-27T13:16:00"/>
    <x v="2"/>
  </r>
  <r>
    <n v="1702869"/>
    <n v="280"/>
    <s v="SUSPICIOUS PERSON"/>
    <d v="2016-03-27T13:12:00"/>
    <x v="14"/>
  </r>
  <r>
    <n v="1702870"/>
    <n v="470"/>
    <s v="PARKING VIOLATION (EXCEPT ABANDONED VEHICLES)"/>
    <d v="2016-03-27T13:14:00"/>
    <x v="1"/>
  </r>
  <r>
    <n v="1702871"/>
    <n v="250"/>
    <s v="MISCHIEF, NUISANCE COMPLAINTS"/>
    <d v="2016-03-27T13:14:00"/>
    <x v="12"/>
  </r>
  <r>
    <n v="1702872"/>
    <n v="63"/>
    <s v="THEFT - CAR PROWL"/>
    <d v="2016-03-27T13:16:00"/>
    <x v="12"/>
  </r>
  <r>
    <n v="1702873"/>
    <n v="188"/>
    <s v="MARIJUANA PUBLIC USE (NOT DISPENSARY)"/>
    <d v="2016-03-27T13:23:00"/>
    <x v="6"/>
  </r>
  <r>
    <n v="1702874"/>
    <n v="280"/>
    <s v="SUSPICIOUS PERSON"/>
    <d v="2016-03-27T13:22:00"/>
    <x v="13"/>
  </r>
  <r>
    <n v="1702875"/>
    <n v="250"/>
    <s v="MISCHIEF, NUISANCE COMPLAINTS"/>
    <d v="2016-03-27T13:28:00"/>
    <x v="12"/>
  </r>
  <r>
    <n v="1702876"/>
    <n v="63"/>
    <s v="THEFT - CAR PROWL"/>
    <d v="2016-03-27T13:22:00"/>
    <x v="17"/>
  </r>
  <r>
    <n v="1702877"/>
    <n v="242"/>
    <s v="FIGHT DISTURBANCE"/>
    <d v="2016-03-27T13:42:00"/>
    <x v="1"/>
  </r>
  <r>
    <n v="1702878"/>
    <n v="470"/>
    <s v="PARKING VIOLATION (EXCEPT ABANDONED VEHICLES)"/>
    <d v="2016-03-27T13:39:00"/>
    <x v="11"/>
  </r>
  <r>
    <n v="1702879"/>
    <n v="63"/>
    <s v="THEFT - CAR PROWL"/>
    <d v="2016-03-27T13:30:00"/>
    <x v="6"/>
  </r>
  <r>
    <n v="1702880"/>
    <n v="71"/>
    <s v="AUTO THEFT"/>
    <d v="2016-03-27T13:37:00"/>
    <x v="15"/>
  </r>
  <r>
    <n v="1702881"/>
    <n v="161"/>
    <s v="TRESPASS"/>
    <d v="2016-03-27T13:46:00"/>
    <x v="16"/>
  </r>
  <r>
    <n v="1702882"/>
    <n v="130"/>
    <s v="PROPERTY DESTRUCTION"/>
    <d v="2016-03-27T13:45:00"/>
    <x v="6"/>
  </r>
  <r>
    <n v="1702883"/>
    <n v="460"/>
    <s v="TRAFFIC (MOVING) VIOLATION"/>
    <d v="2016-03-27T13:57:00"/>
    <x v="11"/>
  </r>
  <r>
    <n v="1702884"/>
    <n v="245"/>
    <s v="DISTURBANCE, OTHER"/>
    <d v="2016-03-27T13:59:00"/>
    <x v="4"/>
  </r>
  <r>
    <n v="1702885"/>
    <n v="470"/>
    <s v="PARKING VIOLATION (EXCEPT ABANDONED VEHICLES)"/>
    <d v="2016-03-27T13:50:00"/>
    <x v="9"/>
  </r>
  <r>
    <n v="1702886"/>
    <n v="430"/>
    <s v="MOTOR VEHICLE COLLISION"/>
    <d v="2016-03-27T13:59:00"/>
    <x v="5"/>
  </r>
  <r>
    <n v="1702887"/>
    <n v="161"/>
    <s v="TRESPASS"/>
    <d v="2016-03-27T14:12:00"/>
    <x v="15"/>
  </r>
  <r>
    <n v="1702888"/>
    <n v="161"/>
    <s v="TRESPASS"/>
    <d v="2016-03-27T14:17:00"/>
    <x v="11"/>
  </r>
  <r>
    <n v="1702889"/>
    <n v="65"/>
    <s v="THEFT - MISCELLANEOUS"/>
    <d v="2016-03-27T14:16:00"/>
    <x v="10"/>
  </r>
  <r>
    <n v="1702890"/>
    <n v="430"/>
    <s v="MOTOR VEHICLE COLLISION"/>
    <d v="2016-03-27T14:11:00"/>
    <x v="3"/>
  </r>
  <r>
    <n v="1702891"/>
    <n v="350"/>
    <s v="HAZARDS"/>
    <d v="2016-03-27T14:32:00"/>
    <x v="17"/>
  </r>
  <r>
    <n v="1702892"/>
    <n v="430"/>
    <s v="MOTOR VEHICLE COLLISION"/>
    <d v="2016-03-27T14:39:00"/>
    <x v="16"/>
  </r>
  <r>
    <n v="1702893"/>
    <n v="470"/>
    <s v="PARKING VIOLATION (EXCEPT ABANDONED VEHICLES)"/>
    <d v="2016-03-27T14:23:00"/>
    <x v="7"/>
  </r>
  <r>
    <n v="1702894"/>
    <n v="280"/>
    <s v="SUSPICIOUS PERSON"/>
    <d v="2016-03-27T14:24:00"/>
    <x v="3"/>
  </r>
  <r>
    <n v="1702895"/>
    <n v="470"/>
    <s v="PARKING VIOLATION (EXCEPT ABANDONED VEHICLES)"/>
    <d v="2016-03-27T14:25:00"/>
    <x v="8"/>
  </r>
  <r>
    <n v="1702896"/>
    <n v="280"/>
    <s v="SUSPICIOUS PERSON"/>
    <d v="2016-03-27T14:20:00"/>
    <x v="11"/>
  </r>
  <r>
    <n v="1702897"/>
    <n v="74"/>
    <s v="LICENSE PLATE THEFT OR LOSS"/>
    <d v="2016-03-27T14:22:00"/>
    <x v="12"/>
  </r>
  <r>
    <n v="1702898"/>
    <n v="450"/>
    <s v="DRIVING WHILE UNDER INFLUENCE (DUI)"/>
    <d v="2016-03-27T14:24:00"/>
    <x v="17"/>
  </r>
  <r>
    <n v="1702899"/>
    <n v="430"/>
    <s v="MOTOR VEHICLE COLLISION"/>
    <d v="2016-03-27T14:37:00"/>
    <x v="15"/>
  </r>
  <r>
    <n v="1702900"/>
    <n v="177"/>
    <s v="LIQUOR VIOLATION - INTOXICATED PERSON"/>
    <d v="2016-03-27T14:48:00"/>
    <x v="6"/>
  </r>
  <r>
    <n v="1702901"/>
    <n v="220"/>
    <s v="CRISIS COMPLAINT - GENERAL"/>
    <d v="2016-03-27T15:02:00"/>
    <x v="15"/>
  </r>
  <r>
    <n v="1702902"/>
    <n v="65"/>
    <s v="THEFT - MISCELLANEOUS"/>
    <d v="2016-03-27T14:58:00"/>
    <x v="13"/>
  </r>
  <r>
    <n v="1702903"/>
    <n v="161"/>
    <s v="TRESPASS"/>
    <d v="2016-03-27T14:46:00"/>
    <x v="10"/>
  </r>
  <r>
    <n v="1702904"/>
    <n v="350"/>
    <s v="HAZARDS"/>
    <d v="2016-03-27T14:42:00"/>
    <x v="11"/>
  </r>
  <r>
    <n v="1702905"/>
    <n v="465"/>
    <s v="PEDESTRIAN VIOLATION"/>
    <d v="2016-03-27T14:59:00"/>
    <x v="11"/>
  </r>
  <r>
    <n v="1702906"/>
    <n v="63"/>
    <s v="THEFT - CAR PROWL"/>
    <d v="2016-03-27T14:49:00"/>
    <x v="4"/>
  </r>
  <r>
    <n v="1702907"/>
    <n v="51"/>
    <s v="BURGLARY - RESIDENTIAL, OCCUPIED"/>
    <d v="2016-03-27T15:02:00"/>
    <x v="17"/>
  </r>
  <r>
    <n v="1702908"/>
    <n v="280"/>
    <s v="SUSPICIOUS PERSON"/>
    <d v="2016-03-27T15:14:00"/>
    <x v="15"/>
  </r>
  <r>
    <n v="1702909"/>
    <n v="245"/>
    <s v="DISTURBANCE, OTHER"/>
    <d v="2016-03-27T15:10:00"/>
    <x v="5"/>
  </r>
  <r>
    <n v="1702910"/>
    <n v="201"/>
    <s v="ALACAD - RESIDENTIAL BURGLARY (FALSE)"/>
    <d v="2016-03-27T15:17:00"/>
    <x v="4"/>
  </r>
  <r>
    <n v="1702911"/>
    <n v="130"/>
    <s v="PROPERTY DESTRUCTION"/>
    <d v="2016-03-27T15:13:00"/>
    <x v="17"/>
  </r>
  <r>
    <n v="1702912"/>
    <n v="177"/>
    <s v="LIQUOR VIOLATION - INTOXICATED PERSON"/>
    <d v="2016-03-27T15:27:00"/>
    <x v="1"/>
  </r>
  <r>
    <n v="1702913"/>
    <n v="430"/>
    <s v="MOTOR VEHICLE COLLISION"/>
    <d v="2016-03-27T15:34:00"/>
    <x v="16"/>
  </r>
  <r>
    <n v="1702914"/>
    <n v="245"/>
    <s v="DISTURBANCE, OTHER"/>
    <d v="2016-03-27T15:27:00"/>
    <x v="10"/>
  </r>
  <r>
    <n v="1702915"/>
    <n v="450"/>
    <s v="DRIVING WHILE UNDER INFLUENCE (DUI)"/>
    <d v="2016-03-27T15:26:00"/>
    <x v="3"/>
  </r>
  <r>
    <n v="1702916"/>
    <n v="250"/>
    <s v="MISCHIEF, NUISANCE COMPLAINTS"/>
    <d v="2016-03-27T15:34:00"/>
    <x v="5"/>
  </r>
  <r>
    <n v="1702917"/>
    <n v="470"/>
    <s v="PARKING VIOLATION (EXCEPT ABANDONED VEHICLES)"/>
    <d v="2016-03-27T15:38:00"/>
    <x v="12"/>
  </r>
  <r>
    <n v="1702918"/>
    <n v="470"/>
    <s v="PARKING VIOLATION (EXCEPT ABANDONED VEHICLES)"/>
    <d v="2016-03-27T15:41:00"/>
    <x v="11"/>
  </r>
  <r>
    <n v="1702919"/>
    <n v="40"/>
    <s v="ASSAULTS, OTHER"/>
    <d v="2016-03-27T15:44:00"/>
    <x v="12"/>
  </r>
  <r>
    <n v="1702920"/>
    <n v="176"/>
    <s v="LIQUOR VIOLATION - ADULT"/>
    <d v="2016-03-27T15:41:00"/>
    <x v="15"/>
  </r>
  <r>
    <n v="1702921"/>
    <n v="220"/>
    <s v="CRISIS COMPLAINT - GENERAL"/>
    <d v="2016-03-27T15:41:00"/>
    <x v="0"/>
  </r>
  <r>
    <n v="1702922"/>
    <n v="177"/>
    <s v="LIQUOR VIOLATION - INTOXICATED PERSON"/>
    <d v="2016-03-27T16:02:00"/>
    <x v="10"/>
  </r>
  <r>
    <n v="1702923"/>
    <n v="465"/>
    <s v="PEDESTRIAN VIOLATION"/>
    <d v="2016-03-27T15:57:00"/>
    <x v="11"/>
  </r>
  <r>
    <n v="1702924"/>
    <n v="281"/>
    <s v="SUSPICIOUS VEHICLE"/>
    <d v="2016-03-27T15:57:00"/>
    <x v="4"/>
  </r>
  <r>
    <n v="1702925"/>
    <n v="244"/>
    <s v="NOISE DISTURBANCE"/>
    <d v="2016-03-27T15:59:00"/>
    <x v="16"/>
  </r>
  <r>
    <n v="1702926"/>
    <n v="371"/>
    <s v="PROPERTY - MISSING"/>
    <d v="2016-03-27T15:56:00"/>
    <x v="11"/>
  </r>
  <r>
    <n v="1702927"/>
    <n v="470"/>
    <s v="PARKING VIOLATION (EXCEPT ABANDONED VEHICLES)"/>
    <d v="2016-03-27T15:51:00"/>
    <x v="3"/>
  </r>
  <r>
    <n v="1702928"/>
    <n v="220"/>
    <s v="CRISIS COMPLAINT - GENERAL"/>
    <d v="2016-03-27T15:57:00"/>
    <x v="9"/>
  </r>
  <r>
    <n v="1702929"/>
    <n v="430"/>
    <s v="MOTOR VEHICLE COLLISION"/>
    <d v="2016-03-27T15:58:00"/>
    <x v="4"/>
  </r>
  <r>
    <n v="1702930"/>
    <n v="100"/>
    <s v="FRAUD (INCLUDING IDENTITY THEFT)"/>
    <d v="2016-03-27T15:59:00"/>
    <x v="11"/>
  </r>
  <r>
    <n v="1702931"/>
    <n v="177"/>
    <s v="LIQUOR VIOLATION - INTOXICATED PERSON"/>
    <d v="2016-03-27T16:08:00"/>
    <x v="1"/>
  </r>
  <r>
    <n v="1702932"/>
    <n v="170"/>
    <s v="RECKLESS ENDANGERMENT, LITTERING, PARKS CODE VIOLATIONS"/>
    <d v="2016-03-27T16:14:00"/>
    <x v="10"/>
  </r>
  <r>
    <n v="1702933"/>
    <n v="244"/>
    <s v="NOISE DISTURBANCE"/>
    <d v="2016-03-27T16:15:00"/>
    <x v="12"/>
  </r>
  <r>
    <n v="1702934"/>
    <n v="245"/>
    <s v="DISTURBANCE, OTHER"/>
    <d v="2016-03-27T16:02:00"/>
    <x v="10"/>
  </r>
  <r>
    <n v="1702935"/>
    <n v="280"/>
    <s v="SUSPICIOUS PERSON"/>
    <d v="2016-03-27T16:10:00"/>
    <x v="17"/>
  </r>
  <r>
    <n v="1702936"/>
    <n v="430"/>
    <s v="MOTOR VEHICLE COLLISION"/>
    <d v="2016-03-27T16:00:00"/>
    <x v="1"/>
  </r>
  <r>
    <n v="1702937"/>
    <n v="372"/>
    <s v="PROPERTY - FOUND (FOLLOW UP TO SPD CASE)"/>
    <d v="2016-03-27T16:02:00"/>
    <x v="11"/>
  </r>
  <r>
    <n v="1702938"/>
    <n v="63"/>
    <s v="THEFT - CAR PROWL"/>
    <d v="2016-03-27T16:22:00"/>
    <x v="13"/>
  </r>
  <r>
    <n v="1702939"/>
    <n v="64"/>
    <s v="SHOPLIFT"/>
    <d v="2016-03-27T16:14:00"/>
    <x v="1"/>
  </r>
  <r>
    <n v="1702940"/>
    <n v="188"/>
    <s v="MARIJUANA PUBLIC USE (NOT DISPENSARY)"/>
    <d v="2016-03-27T16:16:00"/>
    <x v="10"/>
  </r>
  <r>
    <n v="1702941"/>
    <n v="415"/>
    <s v="BLOCKING VEHICLE"/>
    <d v="2016-03-27T16:14:00"/>
    <x v="0"/>
  </r>
  <r>
    <n v="1702942"/>
    <n v="40"/>
    <s v="ASSAULTS, OTHER"/>
    <d v="2016-03-27T16:14:00"/>
    <x v="0"/>
  </r>
  <r>
    <n v="1702943"/>
    <n v="280"/>
    <s v="SUSPICIOUS PERSON"/>
    <d v="2016-03-27T16:16:00"/>
    <x v="15"/>
  </r>
  <r>
    <n v="1702944"/>
    <n v="282"/>
    <s v="SUSPICIOUS CIRCUMSTANCES - BUILDING (OPEN DOOR, ETC.)"/>
    <d v="2016-03-27T16:22:00"/>
    <x v="11"/>
  </r>
  <r>
    <n v="1702945"/>
    <n v="53"/>
    <s v="BURGLARY - UNOCCUPIED STRUCTURE ON RESIDENTIAL PROPERTY"/>
    <d v="2016-03-27T16:10:00"/>
    <x v="9"/>
  </r>
  <r>
    <n v="1702946"/>
    <n v="220"/>
    <s v="CRISIS COMPLAINT - GENERAL"/>
    <d v="2016-03-27T16:26:00"/>
    <x v="10"/>
  </r>
  <r>
    <n v="1702947"/>
    <n v="430"/>
    <s v="MOTOR VEHICLE COLLISION"/>
    <d v="2016-03-27T16:22:00"/>
    <x v="11"/>
  </r>
  <r>
    <n v="1702948"/>
    <n v="65"/>
    <s v="THEFT - MISCELLANEOUS"/>
    <d v="2016-03-27T16:32:00"/>
    <x v="11"/>
  </r>
  <r>
    <n v="1702949"/>
    <n v="280"/>
    <s v="SUSPICIOUS PERSON"/>
    <d v="2016-03-27T16:30:00"/>
    <x v="12"/>
  </r>
  <r>
    <n v="1702950"/>
    <n v="71"/>
    <s v="AUTO THEFT"/>
    <d v="2016-03-27T16:36:00"/>
    <x v="3"/>
  </r>
  <r>
    <n v="1702951"/>
    <n v="63"/>
    <s v="THEFT - CAR PROWL"/>
    <d v="2016-03-27T16:37:00"/>
    <x v="13"/>
  </r>
  <r>
    <n v="1702952"/>
    <n v="242"/>
    <s v="FIGHT DISTURBANCE"/>
    <d v="2016-03-27T16:49:00"/>
    <x v="10"/>
  </r>
  <r>
    <n v="1702953"/>
    <n v="410"/>
    <s v="ABANDONED VEHICLE"/>
    <d v="2016-03-27T16:50:00"/>
    <x v="3"/>
  </r>
  <r>
    <n v="1702954"/>
    <n v="250"/>
    <s v="MISCHIEF, NUISANCE COMPLAINTS"/>
    <d v="2016-03-27T16:53:00"/>
    <x v="9"/>
  </r>
  <r>
    <n v="1702955"/>
    <n v="280"/>
    <s v="SUSPICIOUS PERSON"/>
    <d v="2016-03-27T16:54:00"/>
    <x v="15"/>
  </r>
  <r>
    <n v="1702956"/>
    <n v="330"/>
    <s v="CASUALTY (NON CRIMINAL/TRAFFIC) - MAN DOWN, SICK PERSONS, INJURED, DOA)"/>
    <d v="2016-03-27T16:58:00"/>
    <x v="5"/>
  </r>
  <r>
    <n v="1702957"/>
    <n v="64"/>
    <s v="SHOPLIFT"/>
    <d v="2016-03-27T17:07:00"/>
    <x v="6"/>
  </r>
  <r>
    <n v="1702958"/>
    <n v="410"/>
    <s v="ABANDONED VEHICLE"/>
    <d v="2016-03-27T17:11:00"/>
    <x v="17"/>
  </r>
  <r>
    <n v="1702959"/>
    <n v="245"/>
    <s v="DISTURBANCE, OTHER"/>
    <d v="2016-03-27T17:15:00"/>
    <x v="15"/>
  </r>
  <r>
    <n v="1702960"/>
    <n v="243"/>
    <s v="JUVENILE DISTURBANCE"/>
    <d v="2016-03-27T17:19:00"/>
    <x v="15"/>
  </r>
  <r>
    <n v="1702961"/>
    <n v="176"/>
    <s v="LIQUOR VIOLATION - ADULT"/>
    <d v="2016-03-27T17:15:00"/>
    <x v="0"/>
  </r>
  <r>
    <n v="1702962"/>
    <n v="63"/>
    <s v="THEFT - CAR PROWL"/>
    <d v="2016-03-27T17:14:00"/>
    <x v="11"/>
  </r>
  <r>
    <n v="1702963"/>
    <n v="63"/>
    <s v="THEFT - CAR PROWL"/>
    <d v="2016-03-27T17:19:00"/>
    <x v="13"/>
  </r>
  <r>
    <n v="1702964"/>
    <n v="245"/>
    <s v="DISTURBANCE, OTHER"/>
    <d v="2016-03-27T17:30:00"/>
    <x v="10"/>
  </r>
  <r>
    <n v="1702965"/>
    <n v="280"/>
    <s v="SUSPICIOUS PERSON"/>
    <d v="2016-03-27T17:28:00"/>
    <x v="1"/>
  </r>
  <r>
    <n v="1702966"/>
    <n v="280"/>
    <s v="SUSPICIOUS PERSON"/>
    <d v="2016-03-27T17:29:00"/>
    <x v="17"/>
  </r>
  <r>
    <n v="1702967"/>
    <n v="280"/>
    <s v="SUSPICIOUS PERSON"/>
    <d v="2016-03-27T17:21:00"/>
    <x v="9"/>
  </r>
  <r>
    <n v="1702968"/>
    <n v="101"/>
    <s v="FORGERY, BAD CHECKS"/>
    <d v="2016-03-27T17:28:00"/>
    <x v="10"/>
  </r>
  <r>
    <n v="1702970"/>
    <n v="65"/>
    <s v="THEFT - MISCELLANEOUS"/>
    <d v="2016-03-27T17:20:00"/>
    <x v="3"/>
  </r>
  <r>
    <n v="1702971"/>
    <n v="63"/>
    <s v="THEFT - CAR PROWL"/>
    <d v="2016-03-27T17:29:00"/>
    <x v="3"/>
  </r>
  <r>
    <n v="1702972"/>
    <n v="350"/>
    <s v="HAZARDS"/>
    <d v="2016-03-27T17:39:00"/>
    <x v="0"/>
  </r>
  <r>
    <n v="1702973"/>
    <n v="245"/>
    <s v="DISTURBANCE, OTHER"/>
    <d v="2016-03-27T17:39:00"/>
    <x v="7"/>
  </r>
  <r>
    <n v="1702974"/>
    <n v="161"/>
    <s v="TRESPASS"/>
    <d v="2016-03-27T17:21:00"/>
    <x v="16"/>
  </r>
  <r>
    <n v="1702975"/>
    <n v="40"/>
    <s v="ASSAULTS, OTHER"/>
    <d v="2016-03-27T17:36:00"/>
    <x v="1"/>
  </r>
  <r>
    <n v="1702976"/>
    <n v="63"/>
    <s v="THEFT - CAR PROWL"/>
    <d v="2016-03-27T17:39:00"/>
    <x v="6"/>
  </r>
  <r>
    <n v="1702977"/>
    <n v="184"/>
    <s v="NARCOTICS, OTHER"/>
    <d v="2016-03-27T17:37:00"/>
    <x v="7"/>
  </r>
  <r>
    <n v="1702978"/>
    <n v="245"/>
    <s v="DISTURBANCE, OTHER"/>
    <d v="2016-03-27T17:38:00"/>
    <x v="5"/>
  </r>
  <r>
    <n v="1702979"/>
    <n v="161"/>
    <s v="TRESPASS"/>
    <d v="2016-03-27T17:34:00"/>
    <x v="3"/>
  </r>
  <r>
    <n v="1702980"/>
    <n v="350"/>
    <s v="HAZARDS"/>
    <d v="2016-03-27T17:50:00"/>
    <x v="0"/>
  </r>
  <r>
    <n v="1702981"/>
    <n v="470"/>
    <s v="PARKING VIOLATION (EXCEPT ABANDONED VEHICLES)"/>
    <d v="2016-03-27T17:49:00"/>
    <x v="11"/>
  </r>
  <r>
    <n v="1702982"/>
    <n v="280"/>
    <s v="SUSPICIOUS PERSON"/>
    <d v="2016-03-27T17:50:00"/>
    <x v="16"/>
  </r>
  <r>
    <n v="1702983"/>
    <n v="177"/>
    <s v="LIQUOR VIOLATION - INTOXICATED PERSON"/>
    <d v="2016-03-27T17:50:00"/>
    <x v="0"/>
  </r>
  <r>
    <n v="1702984"/>
    <n v="460"/>
    <s v="TRAFFIC (MOVING) VIOLATION"/>
    <d v="2016-03-27T17:52:00"/>
    <x v="9"/>
  </r>
  <r>
    <n v="1702985"/>
    <n v="430"/>
    <s v="MOTOR VEHICLE COLLISION"/>
    <d v="2016-03-27T17:57:00"/>
    <x v="12"/>
  </r>
  <r>
    <n v="1702986"/>
    <n v="372"/>
    <s v="PROPERTY - FOUND (FOLLOW UP TO SPD CASE)"/>
    <d v="2016-03-27T17:54:00"/>
    <x v="0"/>
  </r>
  <r>
    <n v="1702987"/>
    <n v="63"/>
    <s v="THEFT - CAR PROWL"/>
    <d v="2016-03-27T17:51:00"/>
    <x v="5"/>
  </r>
  <r>
    <n v="1702988"/>
    <n v="161"/>
    <s v="TRESPASS"/>
    <d v="2016-03-27T17:58:00"/>
    <x v="12"/>
  </r>
  <r>
    <n v="1702989"/>
    <n v="63"/>
    <s v="THEFT - CAR PROWL"/>
    <d v="2016-03-27T17:57:00"/>
    <x v="13"/>
  </r>
  <r>
    <n v="1702990"/>
    <n v="161"/>
    <s v="TRESPASS"/>
    <d v="2016-03-27T17:58:00"/>
    <x v="12"/>
  </r>
  <r>
    <n v="1702991"/>
    <n v="177"/>
    <s v="LIQUOR VIOLATION - INTOXICATED PERSON"/>
    <d v="2016-03-27T18:07:00"/>
    <x v="6"/>
  </r>
  <r>
    <n v="1702992"/>
    <n v="280"/>
    <s v="SUSPICIOUS PERSON"/>
    <d v="2016-03-27T18:00:00"/>
    <x v="11"/>
  </r>
  <r>
    <n v="1702993"/>
    <n v="281"/>
    <s v="SUSPICIOUS VEHICLE"/>
    <d v="2016-03-27T18:14:00"/>
    <x v="9"/>
  </r>
  <r>
    <n v="1702994"/>
    <n v="52"/>
    <s v="BURGLARY - COMMERCIAL"/>
    <d v="2016-03-27T18:06:00"/>
    <x v="12"/>
  </r>
  <r>
    <n v="1702995"/>
    <n v="63"/>
    <s v="THEFT - CAR PROWL"/>
    <d v="2016-03-27T18:07:00"/>
    <x v="10"/>
  </r>
  <r>
    <n v="1702996"/>
    <n v="63"/>
    <s v="THEFT - CAR PROWL"/>
    <d v="2016-03-27T18:14:00"/>
    <x v="10"/>
  </r>
  <r>
    <n v="1702997"/>
    <n v="65"/>
    <s v="THEFT - MISCELLANEOUS"/>
    <d v="2016-03-27T18:18:00"/>
    <x v="13"/>
  </r>
  <r>
    <n v="1702998"/>
    <n v="250"/>
    <s v="MISCHIEF, NUISANCE COMPLAINTS"/>
    <d v="2016-03-27T18:19:00"/>
    <x v="14"/>
  </r>
  <r>
    <n v="1703001"/>
    <n v="177"/>
    <s v="LIQUOR VIOLATION - INTOXICATED PERSON"/>
    <d v="2016-03-27T18:26:00"/>
    <x v="13"/>
  </r>
  <r>
    <n v="1703002"/>
    <n v="280"/>
    <s v="SUSPICIOUS PERSON"/>
    <d v="2016-03-27T18:22:00"/>
    <x v="17"/>
  </r>
  <r>
    <n v="1703003"/>
    <n v="50"/>
    <s v="BURGLARY - RESIDENTIAL, UNOCCUPIED"/>
    <d v="2016-03-27T18:28:00"/>
    <x v="16"/>
  </r>
  <r>
    <n v="1703004"/>
    <n v="242"/>
    <s v="FIGHT DISTURBANCE"/>
    <d v="2016-03-27T18:45:00"/>
    <x v="6"/>
  </r>
  <r>
    <n v="1703005"/>
    <n v="372"/>
    <s v="PROPERTY - FOUND (FOLLOW UP TO SPD CASE)"/>
    <d v="2016-03-27T18:31:00"/>
    <x v="8"/>
  </r>
  <r>
    <n v="1703006"/>
    <n v="63"/>
    <s v="THEFT - CAR PROWL"/>
    <d v="2016-03-27T18:30:00"/>
    <x v="3"/>
  </r>
  <r>
    <n v="1703007"/>
    <n v="330"/>
    <s v="CASUALTY (NON CRIMINAL/TRAFFIC) - MAN DOWN, SICK PERSONS, INJURED, DOA)"/>
    <d v="2016-03-27T18:34:00"/>
    <x v="17"/>
  </r>
  <r>
    <n v="1703008"/>
    <n v="141"/>
    <s v="LEWD CONDUCT"/>
    <d v="2016-03-27T18:48:00"/>
    <x v="0"/>
  </r>
  <r>
    <n v="1703009"/>
    <n v="245"/>
    <s v="DISTURBANCE, OTHER"/>
    <d v="2016-03-27T18:55:00"/>
    <x v="1"/>
  </r>
  <r>
    <n v="1703010"/>
    <n v="280"/>
    <s v="SUSPICIOUS PERSON"/>
    <d v="2016-03-27T18:53:00"/>
    <x v="11"/>
  </r>
  <r>
    <n v="1703011"/>
    <n v="281"/>
    <s v="SUSPICIOUS VEHICLE"/>
    <d v="2016-03-27T18:54:00"/>
    <x v="3"/>
  </r>
  <r>
    <n v="1703012"/>
    <n v="282"/>
    <s v="SUSPICIOUS CIRCUMSTANCES - BUILDING (OPEN DOOR, ETC.)"/>
    <d v="2016-03-27T18:58:00"/>
    <x v="3"/>
  </r>
  <r>
    <n v="1703013"/>
    <n v="177"/>
    <s v="LIQUOR VIOLATION - INTOXICATED PERSON"/>
    <d v="2016-03-27T19:02:00"/>
    <x v="11"/>
  </r>
  <r>
    <n v="1703014"/>
    <n v="430"/>
    <s v="MOTOR VEHICLE COLLISION"/>
    <d v="2016-03-27T19:09:00"/>
    <x v="4"/>
  </r>
  <r>
    <n v="1703015"/>
    <n v="250"/>
    <s v="MISCHIEF, NUISANCE COMPLAINTS"/>
    <d v="2016-03-27T19:00:00"/>
    <x v="12"/>
  </r>
  <r>
    <n v="1703016"/>
    <n v="220"/>
    <s v="CRISIS COMPLAINT - GENERAL"/>
    <d v="2016-03-27T19:05:00"/>
    <x v="11"/>
  </r>
  <r>
    <n v="1703017"/>
    <n v="177"/>
    <s v="LIQUOR VIOLATION - INTOXICATED PERSON"/>
    <d v="2016-03-27T19:17:00"/>
    <x v="10"/>
  </r>
  <r>
    <n v="1703018"/>
    <n v="63"/>
    <s v="THEFT - CAR PROWL"/>
    <d v="2016-03-27T19:17:00"/>
    <x v="4"/>
  </r>
  <r>
    <n v="1703019"/>
    <n v="430"/>
    <s v="MOTOR VEHICLE COLLISION"/>
    <d v="2016-03-27T19:12:00"/>
    <x v="3"/>
  </r>
  <r>
    <n v="1703020"/>
    <n v="63"/>
    <s v="THEFT - CAR PROWL"/>
    <d v="2016-03-27T19:10:00"/>
    <x v="6"/>
  </r>
  <r>
    <n v="1703021"/>
    <n v="221"/>
    <s v="CRISIS COMPLAINT - PICK-UP OR TRANSPORT"/>
    <d v="2016-03-27T19:14:00"/>
    <x v="6"/>
  </r>
  <r>
    <n v="1703022"/>
    <n v="470"/>
    <s v="PARKING VIOLATION (EXCEPT ABANDONED VEHICLES)"/>
    <d v="2016-03-27T19:17:00"/>
    <x v="11"/>
  </r>
  <r>
    <n v="1703023"/>
    <n v="281"/>
    <s v="SUSPICIOUS VEHICLE"/>
    <d v="2016-03-27T19:14:00"/>
    <x v="7"/>
  </r>
  <r>
    <n v="1703024"/>
    <n v="242"/>
    <s v="FIGHT DISTURBANCE"/>
    <d v="2016-03-27T19:14:00"/>
    <x v="7"/>
  </r>
  <r>
    <n v="1703025"/>
    <n v="71"/>
    <s v="AUTO THEFT"/>
    <d v="2016-03-27T03:40:00"/>
    <x v="12"/>
  </r>
  <r>
    <n v="1703026"/>
    <n v="280"/>
    <s v="SUSPICIOUS PERSON"/>
    <d v="2016-03-27T19:35:00"/>
    <x v="7"/>
  </r>
  <r>
    <n v="1703027"/>
    <n v="50"/>
    <s v="BURGLARY - RESIDENTIAL, UNOCCUPIED"/>
    <d v="2016-03-27T19:28:00"/>
    <x v="8"/>
  </r>
  <r>
    <n v="1703028"/>
    <n v="63"/>
    <s v="THEFT - CAR PROWL"/>
    <d v="2016-03-27T19:25:00"/>
    <x v="5"/>
  </r>
  <r>
    <n v="1703029"/>
    <n v="63"/>
    <s v="THEFT - CAR PROWL"/>
    <d v="2016-03-27T19:28:00"/>
    <x v="5"/>
  </r>
  <r>
    <n v="1703030"/>
    <n v="50"/>
    <s v="BURGLARY - RESIDENTIAL, UNOCCUPIED"/>
    <d v="2016-03-27T19:25:00"/>
    <x v="14"/>
  </r>
  <r>
    <n v="1703031"/>
    <n v="282"/>
    <s v="SUSPICIOUS CIRCUMSTANCES - BUILDING (OPEN DOOR, ETC.)"/>
    <d v="2016-03-27T19:29:00"/>
    <x v="7"/>
  </r>
  <r>
    <n v="1703032"/>
    <n v="74"/>
    <s v="LICENSE PLATE THEFT OR LOSS"/>
    <d v="2016-03-27T19:27:00"/>
    <x v="8"/>
  </r>
  <r>
    <n v="1703034"/>
    <n v="470"/>
    <s v="PARKING VIOLATION (EXCEPT ABANDONED VEHICLES)"/>
    <d v="2016-03-27T19:38:00"/>
    <x v="5"/>
  </r>
  <r>
    <n v="1703035"/>
    <n v="40"/>
    <s v="ASSAULTS, OTHER"/>
    <d v="2016-03-27T19:44:00"/>
    <x v="1"/>
  </r>
  <r>
    <n v="1703036"/>
    <n v="73"/>
    <s v="AUTO RECOVERY"/>
    <d v="2016-03-27T19:38:00"/>
    <x v="16"/>
  </r>
  <r>
    <n v="1703037"/>
    <n v="280"/>
    <s v="SUSPICIOUS PERSON"/>
    <d v="2016-03-27T19:30:00"/>
    <x v="8"/>
  </r>
  <r>
    <n v="1703038"/>
    <n v="63"/>
    <s v="THEFT - CAR PROWL"/>
    <d v="2016-03-27T19:37:00"/>
    <x v="11"/>
  </r>
  <r>
    <n v="1703039"/>
    <n v="161"/>
    <s v="TRESPASS"/>
    <d v="2016-03-27T19:32:00"/>
    <x v="7"/>
  </r>
  <r>
    <n v="1703040"/>
    <n v="372"/>
    <s v="PROPERTY - FOUND (FOLLOW UP TO SPD CASE)"/>
    <d v="2016-03-27T19:31:00"/>
    <x v="7"/>
  </r>
  <r>
    <n v="1703041"/>
    <n v="460"/>
    <s v="TRAFFIC (MOVING) VIOLATION"/>
    <d v="2016-03-27T19:47:00"/>
    <x v="4"/>
  </r>
  <r>
    <n v="1703042"/>
    <n v="280"/>
    <s v="SUSPICIOUS PERSON"/>
    <d v="2016-03-27T19:48:00"/>
    <x v="0"/>
  </r>
  <r>
    <n v="1703043"/>
    <n v="430"/>
    <s v="MOTOR VEHICLE COLLISION"/>
    <d v="2016-03-27T19:49:00"/>
    <x v="15"/>
  </r>
  <r>
    <n v="1703044"/>
    <n v="161"/>
    <s v="TRESPASS"/>
    <d v="2016-03-27T19:50:00"/>
    <x v="12"/>
  </r>
  <r>
    <n v="1703045"/>
    <n v="430"/>
    <s v="MOTOR VEHICLE COLLISION"/>
    <d v="2016-03-27T19:57:00"/>
    <x v="14"/>
  </r>
  <r>
    <n v="1703046"/>
    <n v="450"/>
    <s v="DRIVING WHILE UNDER INFLUENCE (DUI)"/>
    <d v="2016-03-27T20:06:00"/>
    <x v="12"/>
  </r>
  <r>
    <n v="1703047"/>
    <n v="460"/>
    <s v="TRAFFIC (MOVING) VIOLATION"/>
    <d v="2016-03-27T19:52:00"/>
    <x v="2"/>
  </r>
  <r>
    <n v="1703048"/>
    <n v="430"/>
    <s v="MOTOR VEHICLE COLLISION"/>
    <d v="2016-03-27T20:01:00"/>
    <x v="10"/>
  </r>
  <r>
    <n v="1703049"/>
    <n v="64"/>
    <s v="SHOPLIFT"/>
    <d v="2016-03-27T19:51:00"/>
    <x v="12"/>
  </r>
  <r>
    <n v="1703050"/>
    <n v="63"/>
    <s v="THEFT - CAR PROWL"/>
    <d v="2016-03-27T19:57:00"/>
    <x v="10"/>
  </r>
  <r>
    <n v="1703051"/>
    <n v="65"/>
    <s v="THEFT - MISCELLANEOUS"/>
    <d v="2016-03-27T19:58:00"/>
    <x v="10"/>
  </r>
  <r>
    <n v="1703052"/>
    <n v="245"/>
    <s v="DISTURBANCE, OTHER"/>
    <d v="2016-03-27T19:59:00"/>
    <x v="7"/>
  </r>
  <r>
    <n v="1703053"/>
    <n v="250"/>
    <s v="MISCHIEF, NUISANCE COMPLAINTS"/>
    <d v="2016-03-27T20:11:00"/>
    <x v="11"/>
  </r>
  <r>
    <n v="1703054"/>
    <n v="200"/>
    <s v="ALACAD - COMMERCIAL BURGLARY (FALSE)"/>
    <d v="2016-03-27T20:04:00"/>
    <x v="2"/>
  </r>
  <r>
    <n v="1703055"/>
    <n v="203"/>
    <s v="ALACAD - RESIDENTIAL PANIC (FALSE)"/>
    <d v="2016-03-27T20:08:00"/>
    <x v="8"/>
  </r>
  <r>
    <n v="1703056"/>
    <n v="64"/>
    <s v="SHOPLIFT"/>
    <d v="2016-03-27T20:13:00"/>
    <x v="10"/>
  </r>
  <r>
    <n v="1703057"/>
    <n v="244"/>
    <s v="NOISE DISTURBANCE"/>
    <d v="2016-03-27T20:14:00"/>
    <x v="17"/>
  </r>
  <r>
    <n v="1703058"/>
    <n v="470"/>
    <s v="PARKING VIOLATION (EXCEPT ABANDONED VEHICLES)"/>
    <d v="2016-03-27T20:25:00"/>
    <x v="11"/>
  </r>
  <r>
    <n v="1703059"/>
    <n v="280"/>
    <s v="SUSPICIOUS PERSON"/>
    <d v="2016-03-27T20:22:00"/>
    <x v="9"/>
  </r>
  <r>
    <n v="1703060"/>
    <n v="245"/>
    <s v="DISTURBANCE, OTHER"/>
    <d v="2016-03-27T20:13:00"/>
    <x v="8"/>
  </r>
  <r>
    <n v="1703061"/>
    <n v="161"/>
    <s v="TRESPASS"/>
    <d v="2016-03-27T20:22:00"/>
    <x v="14"/>
  </r>
  <r>
    <n v="1703062"/>
    <n v="415"/>
    <s v="BLOCKING VEHICLE"/>
    <d v="2016-03-27T20:17:00"/>
    <x v="12"/>
  </r>
  <r>
    <n v="1703063"/>
    <n v="40"/>
    <s v="ASSAULTS, OTHER"/>
    <d v="2016-03-27T20:20:00"/>
    <x v="3"/>
  </r>
  <r>
    <n v="1703064"/>
    <n v="470"/>
    <s v="PARKING VIOLATION (EXCEPT ABANDONED VEHICLES)"/>
    <d v="2016-03-27T20:19:00"/>
    <x v="8"/>
  </r>
  <r>
    <n v="1703065"/>
    <n v="177"/>
    <s v="LIQUOR VIOLATION - INTOXICATED PERSON"/>
    <d v="2016-03-27T20:28:00"/>
    <x v="10"/>
  </r>
  <r>
    <n v="1703066"/>
    <n v="280"/>
    <s v="SUSPICIOUS PERSON"/>
    <d v="2016-03-27T20:34:00"/>
    <x v="17"/>
  </r>
  <r>
    <n v="1703067"/>
    <n v="245"/>
    <s v="DISTURBANCE, OTHER"/>
    <d v="2016-03-27T20:33:00"/>
    <x v="9"/>
  </r>
  <r>
    <n v="1703068"/>
    <n v="63"/>
    <s v="THEFT - CAR PROWL"/>
    <d v="2016-03-27T20:27:00"/>
    <x v="0"/>
  </r>
  <r>
    <n v="1703069"/>
    <n v="280"/>
    <s v="SUSPICIOUS PERSON"/>
    <d v="2016-03-27T20:23:00"/>
    <x v="12"/>
  </r>
  <r>
    <n v="1703070"/>
    <n v="65"/>
    <s v="THEFT - MISCELLANEOUS"/>
    <d v="2016-03-27T20:21:00"/>
    <x v="9"/>
  </r>
  <r>
    <n v="1703071"/>
    <n v="177"/>
    <s v="LIQUOR VIOLATION - INTOXICATED PERSON"/>
    <d v="2016-03-27T20:32:00"/>
    <x v="6"/>
  </r>
  <r>
    <n v="1703072"/>
    <n v="242"/>
    <s v="FIGHT DISTURBANCE"/>
    <d v="2016-03-27T20:38:00"/>
    <x v="4"/>
  </r>
  <r>
    <n v="1703073"/>
    <n v="200"/>
    <s v="ALACAD - COMMERCIAL BURGLARY (FALSE)"/>
    <d v="2016-03-27T20:44:00"/>
    <x v="10"/>
  </r>
  <r>
    <n v="1703074"/>
    <n v="250"/>
    <s v="MISCHIEF, NUISANCE COMPLAINTS"/>
    <d v="2016-03-27T20:36:00"/>
    <x v="3"/>
  </r>
  <r>
    <n v="1703075"/>
    <n v="161"/>
    <s v="TRESPASS"/>
    <d v="2016-03-27T20:42:00"/>
    <x v="10"/>
  </r>
  <r>
    <n v="1703076"/>
    <n v="281"/>
    <s v="SUSPICIOUS VEHICLE"/>
    <d v="2016-03-27T20:32:00"/>
    <x v="17"/>
  </r>
  <r>
    <n v="1703077"/>
    <n v="430"/>
    <s v="MOTOR VEHICLE COLLISION"/>
    <d v="2016-03-27T20:36:00"/>
    <x v="12"/>
  </r>
  <r>
    <n v="1703078"/>
    <n v="161"/>
    <s v="TRESPASS"/>
    <d v="2016-03-27T20:31:00"/>
    <x v="10"/>
  </r>
  <r>
    <n v="1703080"/>
    <n v="177"/>
    <s v="LIQUOR VIOLATION - INTOXICATED PERSON"/>
    <d v="2016-03-27T20:50:00"/>
    <x v="0"/>
  </r>
  <r>
    <n v="1703081"/>
    <n v="460"/>
    <s v="TRAFFIC (MOVING) VIOLATION"/>
    <d v="2016-03-27T20:41:00"/>
    <x v="5"/>
  </r>
  <r>
    <n v="1703082"/>
    <n v="280"/>
    <s v="SUSPICIOUS PERSON"/>
    <d v="2016-03-27T20:48:00"/>
    <x v="17"/>
  </r>
  <r>
    <n v="1703083"/>
    <n v="245"/>
    <s v="DISTURBANCE, OTHER"/>
    <d v="2016-03-27T20:48:00"/>
    <x v="7"/>
  </r>
  <r>
    <n v="1703085"/>
    <n v="460"/>
    <s v="TRAFFIC (MOVING) VIOLATION"/>
    <d v="2016-03-27T20:56:00"/>
    <x v="1"/>
  </r>
  <r>
    <n v="1703086"/>
    <n v="280"/>
    <s v="SUSPICIOUS PERSON"/>
    <d v="2016-03-27T20:54:00"/>
    <x v="4"/>
  </r>
  <r>
    <n v="1703087"/>
    <n v="281"/>
    <s v="SUSPICIOUS VEHICLE"/>
    <d v="2016-03-27T20:52:00"/>
    <x v="12"/>
  </r>
  <r>
    <n v="1703088"/>
    <n v="460"/>
    <s v="TRAFFIC (MOVING) VIOLATION"/>
    <d v="2016-03-27T20:55:00"/>
    <x v="0"/>
  </r>
  <r>
    <n v="1703089"/>
    <n v="470"/>
    <s v="PARKING VIOLATION (EXCEPT ABANDONED VEHICLES)"/>
    <d v="2016-03-27T21:02:00"/>
    <x v="17"/>
  </r>
  <r>
    <n v="1703090"/>
    <n v="470"/>
    <s v="PARKING VIOLATION (EXCEPT ABANDONED VEHICLES)"/>
    <d v="2016-03-27T21:26:00"/>
    <x v="7"/>
  </r>
  <r>
    <n v="1703091"/>
    <n v="177"/>
    <s v="LIQUOR VIOLATION - INTOXICATED PERSON"/>
    <d v="2016-03-27T21:06:00"/>
    <x v="6"/>
  </r>
  <r>
    <n v="1703092"/>
    <n v="460"/>
    <s v="TRAFFIC (MOVING) VIOLATION"/>
    <d v="2016-03-27T21:28:00"/>
    <x v="7"/>
  </r>
  <r>
    <n v="1703093"/>
    <n v="450"/>
    <s v="DRIVING WHILE UNDER INFLUENCE (DUI)"/>
    <d v="2016-03-27T21:13:00"/>
    <x v="8"/>
  </r>
  <r>
    <n v="1703094"/>
    <n v="245"/>
    <s v="DISTURBANCE, OTHER"/>
    <d v="2016-03-27T21:29:00"/>
    <x v="13"/>
  </r>
  <r>
    <n v="1703095"/>
    <n v="460"/>
    <s v="TRAFFIC (MOVING) VIOLATION"/>
    <d v="2016-03-27T21:21:00"/>
    <x v="11"/>
  </r>
  <r>
    <n v="1703096"/>
    <n v="330"/>
    <s v="CASUALTY (NON CRIMINAL/TRAFFIC) - MAN DOWN, SICK PERSONS, INJURED, DOA)"/>
    <d v="2016-03-27T21:22:00"/>
    <x v="4"/>
  </r>
  <r>
    <n v="1703097"/>
    <n v="372"/>
    <s v="PROPERTY - FOUND (FOLLOW UP TO SPD CASE)"/>
    <d v="2016-03-27T21:22:00"/>
    <x v="3"/>
  </r>
  <r>
    <n v="1703098"/>
    <n v="220"/>
    <s v="CRISIS COMPLAINT - GENERAL"/>
    <d v="2016-03-27T21:26:00"/>
    <x v="17"/>
  </r>
  <r>
    <n v="1703099"/>
    <n v="63"/>
    <s v="THEFT - CAR PROWL"/>
    <d v="2016-03-27T21:20:00"/>
    <x v="0"/>
  </r>
  <r>
    <n v="1703100"/>
    <n v="177"/>
    <s v="LIQUOR VIOLATION - INTOXICATED PERSON"/>
    <d v="2016-03-27T21:38:00"/>
    <x v="11"/>
  </r>
  <r>
    <n v="1703101"/>
    <n v="245"/>
    <s v="DISTURBANCE, OTHER"/>
    <d v="2016-03-27T21:40:00"/>
    <x v="10"/>
  </r>
  <r>
    <n v="1703102"/>
    <n v="470"/>
    <s v="PARKING VIOLATION (EXCEPT ABANDONED VEHICLES)"/>
    <d v="2016-03-27T21:51:00"/>
    <x v="13"/>
  </r>
  <r>
    <n v="1703103"/>
    <n v="280"/>
    <s v="SUSPICIOUS PERSON"/>
    <d v="2016-03-27T21:48:00"/>
    <x v="0"/>
  </r>
  <r>
    <n v="1703104"/>
    <n v="350"/>
    <s v="HAZARDS"/>
    <d v="2016-03-27T21:41:00"/>
    <x v="5"/>
  </r>
  <r>
    <n v="1703105"/>
    <n v="220"/>
    <s v="CRISIS COMPLAINT - GENERAL"/>
    <d v="2016-03-27T21:48:00"/>
    <x v="16"/>
  </r>
  <r>
    <n v="1703106"/>
    <n v="470"/>
    <s v="PARKING VIOLATION (EXCEPT ABANDONED VEHICLES)"/>
    <d v="2016-03-27T21:51:00"/>
    <x v="13"/>
  </r>
  <r>
    <n v="1703107"/>
    <n v="244"/>
    <s v="NOISE DISTURBANCE"/>
    <d v="2016-03-27T21:52:00"/>
    <x v="13"/>
  </r>
  <r>
    <n v="1703108"/>
    <n v="280"/>
    <s v="SUSPICIOUS PERSON"/>
    <d v="2016-03-27T21:54:00"/>
    <x v="0"/>
  </r>
  <r>
    <n v="1703109"/>
    <n v="63"/>
    <s v="THEFT - CAR PROWL"/>
    <d v="2016-03-27T21:56:00"/>
    <x v="6"/>
  </r>
  <r>
    <n v="1703110"/>
    <n v="64"/>
    <s v="SHOPLIFT"/>
    <d v="2016-03-27T21:54:00"/>
    <x v="6"/>
  </r>
  <r>
    <n v="1703111"/>
    <n v="71"/>
    <s v="AUTO THEFT"/>
    <d v="2016-03-27T21:57:00"/>
    <x v="17"/>
  </r>
  <r>
    <n v="1703112"/>
    <n v="52"/>
    <s v="BURGLARY - COMMERCIAL"/>
    <d v="2016-03-27T21:54:00"/>
    <x v="4"/>
  </r>
  <r>
    <n v="1703113"/>
    <n v="460"/>
    <s v="TRAFFIC (MOVING) VIOLATION"/>
    <d v="2016-03-27T22:13:00"/>
    <x v="7"/>
  </r>
  <r>
    <n v="1703114"/>
    <n v="40"/>
    <s v="ASSAULTS, OTHER"/>
    <d v="2016-03-27T22:04:00"/>
    <x v="3"/>
  </r>
  <r>
    <n v="1703115"/>
    <n v="203"/>
    <s v="ALACAD - RESIDENTIAL PANIC (FALSE)"/>
    <d v="2016-03-27T22:46:00"/>
    <x v="0"/>
  </r>
  <r>
    <n v="1703116"/>
    <n v="460"/>
    <s v="TRAFFIC (MOVING) VIOLATION"/>
    <d v="2016-03-27T22:40:00"/>
    <x v="1"/>
  </r>
  <r>
    <n v="1703117"/>
    <n v="177"/>
    <s v="LIQUOR VIOLATION - INTOXICATED PERSON"/>
    <d v="2016-03-27T22:23:00"/>
    <x v="11"/>
  </r>
  <r>
    <n v="1703118"/>
    <n v="177"/>
    <s v="LIQUOR VIOLATION - INTOXICATED PERSON"/>
    <d v="2016-03-27T22:20:00"/>
    <x v="11"/>
  </r>
  <r>
    <n v="1703119"/>
    <n v="176"/>
    <s v="LIQUOR VIOLATION - ADULT"/>
    <d v="2016-03-27T22:18:00"/>
    <x v="7"/>
  </r>
  <r>
    <n v="1703120"/>
    <n v="245"/>
    <s v="DISTURBANCE, OTHER"/>
    <d v="2016-03-27T22:25:00"/>
    <x v="7"/>
  </r>
  <r>
    <n v="1703121"/>
    <n v="160"/>
    <s v="PROWLER"/>
    <d v="2016-03-27T22:25:00"/>
    <x v="15"/>
  </r>
  <r>
    <n v="1703122"/>
    <n v="161"/>
    <s v="TRESPASS"/>
    <d v="2016-03-27T22:16:00"/>
    <x v="7"/>
  </r>
  <r>
    <n v="1703123"/>
    <n v="280"/>
    <s v="SUSPICIOUS PERSON"/>
    <d v="2016-03-27T22:30:00"/>
    <x v="5"/>
  </r>
  <r>
    <n v="1703124"/>
    <n v="161"/>
    <s v="TRESPASS"/>
    <d v="2016-03-27T22:11:00"/>
    <x v="16"/>
  </r>
  <r>
    <n v="1703125"/>
    <n v="71"/>
    <s v="AUTO THEFT"/>
    <d v="2016-03-27T22:30:00"/>
    <x v="4"/>
  </r>
  <r>
    <n v="1703126"/>
    <n v="430"/>
    <s v="MOTOR VEHICLE COLLISION"/>
    <d v="2016-03-27T22:11:00"/>
    <x v="0"/>
  </r>
  <r>
    <n v="1703127"/>
    <n v="177"/>
    <s v="LIQUOR VIOLATION - INTOXICATED PERSON"/>
    <d v="2016-03-27T22:45:00"/>
    <x v="10"/>
  </r>
  <r>
    <n v="1703128"/>
    <n v="177"/>
    <s v="LIQUOR VIOLATION - INTOXICATED PERSON"/>
    <d v="2016-03-27T22:43:00"/>
    <x v="1"/>
  </r>
  <r>
    <n v="1703129"/>
    <n v="245"/>
    <s v="DISTURBANCE, OTHER"/>
    <d v="2016-03-27T22:46:00"/>
    <x v="10"/>
  </r>
  <r>
    <n v="1703130"/>
    <n v="200"/>
    <s v="ALACAD - COMMERCIAL BURGLARY (FALSE)"/>
    <d v="2016-03-27T22:52:00"/>
    <x v="11"/>
  </r>
  <r>
    <n v="1703131"/>
    <n v="200"/>
    <s v="ALACAD - COMMERCIAL BURGLARY (FALSE)"/>
    <d v="2016-03-27T22:43:00"/>
    <x v="13"/>
  </r>
  <r>
    <n v="1703132"/>
    <n v="200"/>
    <s v="ALACAD - COMMERCIAL BURGLARY (FALSE)"/>
    <d v="2016-03-27T22:41:00"/>
    <x v="13"/>
  </r>
  <r>
    <n v="1703133"/>
    <n v="281"/>
    <s v="SUSPICIOUS VEHICLE"/>
    <d v="2016-03-27T22:53:00"/>
    <x v="12"/>
  </r>
  <r>
    <n v="1703134"/>
    <n v="281"/>
    <s v="SUSPICIOUS VEHICLE"/>
    <d v="2016-03-27T23:05:00"/>
    <x v="12"/>
  </r>
  <r>
    <n v="1703135"/>
    <n v="282"/>
    <s v="SUSPICIOUS CIRCUMSTANCES - BUILDING (OPEN DOOR, ETC.)"/>
    <d v="2016-03-27T22:56:00"/>
    <x v="15"/>
  </r>
  <r>
    <n v="1703136"/>
    <n v="430"/>
    <s v="MOTOR VEHICLE COLLISION"/>
    <d v="2016-03-27T22:37:00"/>
    <x v="3"/>
  </r>
  <r>
    <n v="1703137"/>
    <n v="460"/>
    <s v="TRAFFIC (MOVING) VIOLATION"/>
    <d v="2016-03-27T23:21:00"/>
    <x v="5"/>
  </r>
  <r>
    <n v="1703138"/>
    <n v="280"/>
    <s v="SUSPICIOUS PERSON"/>
    <d v="2016-03-27T23:15:00"/>
    <x v="5"/>
  </r>
  <r>
    <n v="1703139"/>
    <n v="245"/>
    <s v="DISTURBANCE, OTHER"/>
    <d v="2016-03-27T23:17:00"/>
    <x v="14"/>
  </r>
  <r>
    <n v="1703140"/>
    <n v="281"/>
    <s v="SUSPICIOUS VEHICLE"/>
    <d v="2016-03-27T23:22:00"/>
    <x v="16"/>
  </r>
  <r>
    <n v="1703141"/>
    <n v="62"/>
    <s v="BICYCLE THEFT"/>
    <d v="2016-03-27T23:16:00"/>
    <x v="16"/>
  </r>
  <r>
    <n v="1703142"/>
    <n v="450"/>
    <s v="DRIVING WHILE UNDER INFLUENCE (DUI)"/>
    <d v="2016-03-27T23:07:00"/>
    <x v="9"/>
  </r>
  <r>
    <n v="1703143"/>
    <n v="280"/>
    <s v="SUSPICIOUS PERSON"/>
    <d v="2016-03-27T23:14:00"/>
    <x v="17"/>
  </r>
  <r>
    <n v="1703144"/>
    <n v="450"/>
    <s v="DRIVING WHILE UNDER INFLUENCE (DUI)"/>
    <d v="2016-03-27T23:10:00"/>
    <x v="6"/>
  </r>
  <r>
    <n v="1703145"/>
    <n v="281"/>
    <s v="SUSPICIOUS VEHICLE"/>
    <d v="2016-03-27T23:40:00"/>
    <x v="0"/>
  </r>
  <r>
    <n v="1703146"/>
    <n v="245"/>
    <s v="DISTURBANCE, OTHER"/>
    <d v="2016-03-27T23:39:00"/>
    <x v="8"/>
  </r>
  <r>
    <n v="1703147"/>
    <n v="280"/>
    <s v="SUSPICIOUS PERSON"/>
    <d v="2016-03-27T23:29:00"/>
    <x v="12"/>
  </r>
  <r>
    <n v="1703148"/>
    <n v="280"/>
    <s v="SUSPICIOUS PERSON"/>
    <d v="2016-03-27T23:37:00"/>
    <x v="14"/>
  </r>
  <r>
    <n v="1703149"/>
    <n v="280"/>
    <s v="SUSPICIOUS PERSON"/>
    <d v="2016-03-27T23:45:00"/>
    <x v="14"/>
  </r>
  <r>
    <n v="1703150"/>
    <n v="244"/>
    <s v="NOISE DISTURBANCE"/>
    <d v="2016-03-27T23:44:00"/>
    <x v="4"/>
  </r>
  <r>
    <n v="1703151"/>
    <n v="161"/>
    <s v="TRESPASS"/>
    <d v="2016-03-27T23:27:00"/>
    <x v="17"/>
  </r>
  <r>
    <n v="1703152"/>
    <n v="161"/>
    <s v="TRESPASS"/>
    <d v="2016-03-27T23:25:00"/>
    <x v="15"/>
  </r>
  <r>
    <n v="1703153"/>
    <n v="65"/>
    <s v="THEFT - MISCELLANEOUS"/>
    <d v="2016-03-27T23:36:00"/>
    <x v="11"/>
  </r>
  <r>
    <n v="1703154"/>
    <n v="52"/>
    <s v="BURGLARY - COMMERCIAL"/>
    <d v="2016-03-27T23:33:00"/>
    <x v="6"/>
  </r>
  <r>
    <n v="1703155"/>
    <n v="282"/>
    <s v="SUSPICIOUS CIRCUMSTANCES - BUILDING (OPEN DOOR, ETC.)"/>
    <d v="2016-03-27T23:27:00"/>
    <x v="11"/>
  </r>
  <r>
    <n v="1703156"/>
    <n v="177"/>
    <s v="LIQUOR VIOLATION - INTOXICATED PERSON"/>
    <d v="2016-03-27T23:50:00"/>
    <x v="10"/>
  </r>
  <r>
    <n v="1703157"/>
    <n v="244"/>
    <s v="NOISE DISTURBANCE"/>
    <d v="2016-03-27T23:54:00"/>
    <x v="7"/>
  </r>
  <r>
    <n v="1703158"/>
    <n v="177"/>
    <s v="LIQUOR VIOLATION - INTOXICATED PERSON"/>
    <d v="2016-03-27T23:51:00"/>
    <x v="6"/>
  </r>
  <r>
    <n v="1703159"/>
    <n v="430"/>
    <s v="MOTOR VEHICLE COLLISION"/>
    <d v="2016-03-28T00:07:00"/>
    <x v="3"/>
  </r>
  <r>
    <n v="1703160"/>
    <n v="430"/>
    <s v="MOTOR VEHICLE COLLISION"/>
    <d v="2016-03-28T00:10:00"/>
    <x v="9"/>
  </r>
  <r>
    <n v="1703161"/>
    <n v="244"/>
    <s v="NOISE DISTURBANCE"/>
    <d v="2016-03-28T00:20:00"/>
    <x v="11"/>
  </r>
  <r>
    <n v="1703162"/>
    <n v="450"/>
    <s v="DRIVING WHILE UNDER INFLUENCE (DUI)"/>
    <d v="2016-03-28T00:27:00"/>
    <x v="7"/>
  </r>
  <r>
    <n v="1703163"/>
    <n v="245"/>
    <s v="DISTURBANCE, OTHER"/>
    <d v="2016-03-28T00:25:00"/>
    <x v="3"/>
  </r>
  <r>
    <n v="1703164"/>
    <n v="250"/>
    <s v="MISCHIEF, NUISANCE COMPLAINTS"/>
    <d v="2016-03-28T00:32:00"/>
    <x v="11"/>
  </r>
  <r>
    <n v="1703165"/>
    <n v="280"/>
    <s v="SUSPICIOUS PERSON"/>
    <d v="2016-03-28T00:30:00"/>
    <x v="3"/>
  </r>
  <r>
    <n v="1703166"/>
    <n v="63"/>
    <s v="THEFT - CAR PROWL"/>
    <d v="2016-03-28T00:37:00"/>
    <x v="5"/>
  </r>
  <r>
    <n v="1703167"/>
    <n v="280"/>
    <s v="SUSPICIOUS PERSON"/>
    <d v="2016-03-28T00:42:00"/>
    <x v="3"/>
  </r>
  <r>
    <n v="1703168"/>
    <n v="177"/>
    <s v="LIQUOR VIOLATION - INTOXICATED PERSON"/>
    <d v="2016-03-28T00:45:00"/>
    <x v="10"/>
  </r>
  <r>
    <n v="1703169"/>
    <n v="281"/>
    <s v="SUSPICIOUS VEHICLE"/>
    <d v="2016-03-28T00:47:00"/>
    <x v="9"/>
  </r>
  <r>
    <n v="1703170"/>
    <n v="250"/>
    <s v="MISCHIEF, NUISANCE COMPLAINTS"/>
    <d v="2016-03-28T00:54:00"/>
    <x v="4"/>
  </r>
  <r>
    <n v="1703171"/>
    <n v="245"/>
    <s v="DISTURBANCE, OTHER"/>
    <d v="2016-03-28T00:55:00"/>
    <x v="1"/>
  </r>
  <r>
    <n v="1703172"/>
    <n v="64"/>
    <s v="SHOPLIFT"/>
    <d v="2016-03-28T00:54:00"/>
    <x v="10"/>
  </r>
  <r>
    <n v="1703173"/>
    <n v="191"/>
    <s v="FELONY WARRANT SERVICE"/>
    <d v="2016-03-28T00:55:00"/>
    <x v="10"/>
  </r>
  <r>
    <n v="1703174"/>
    <n v="280"/>
    <s v="SUSPICIOUS PERSON"/>
    <d v="2016-03-28T00:55:00"/>
    <x v="11"/>
  </r>
  <r>
    <n v="1703175"/>
    <n v="281"/>
    <s v="SUSPICIOUS VEHICLE"/>
    <d v="2016-03-28T01:04:00"/>
    <x v="13"/>
  </r>
  <r>
    <n v="1703176"/>
    <n v="50"/>
    <s v="BURGLARY - RESIDENTIAL, UNOCCUPIED"/>
    <d v="2016-03-28T01:03:00"/>
    <x v="0"/>
  </r>
  <r>
    <n v="1703177"/>
    <n v="245"/>
    <s v="DISTURBANCE, OTHER"/>
    <d v="2016-03-28T01:00:00"/>
    <x v="14"/>
  </r>
  <r>
    <n v="1703178"/>
    <n v="470"/>
    <s v="PARKING VIOLATION (EXCEPT ABANDONED VEHICLES)"/>
    <d v="2016-03-28T01:20:00"/>
    <x v="9"/>
  </r>
  <r>
    <n v="1703179"/>
    <n v="250"/>
    <s v="MISCHIEF, NUISANCE COMPLAINTS"/>
    <d v="2016-03-28T01:19:00"/>
    <x v="4"/>
  </r>
  <r>
    <n v="1703180"/>
    <n v="460"/>
    <s v="TRAFFIC (MOVING) VIOLATION"/>
    <d v="2016-03-28T01:19:00"/>
    <x v="2"/>
  </r>
  <r>
    <n v="1703181"/>
    <n v="242"/>
    <s v="FIGHT DISTURBANCE"/>
    <d v="2016-03-28T01:17:00"/>
    <x v="16"/>
  </r>
  <r>
    <n v="1703182"/>
    <n v="177"/>
    <s v="LIQUOR VIOLATION - INTOXICATED PERSON"/>
    <d v="2016-03-28T01:27:00"/>
    <x v="6"/>
  </r>
  <r>
    <n v="1703183"/>
    <n v="460"/>
    <s v="TRAFFIC (MOVING) VIOLATION"/>
    <d v="2016-03-28T01:28:00"/>
    <x v="11"/>
  </r>
  <r>
    <n v="1703184"/>
    <n v="450"/>
    <s v="DRIVING WHILE UNDER INFLUENCE (DUI)"/>
    <d v="2016-03-28T01:31:00"/>
    <x v="2"/>
  </r>
  <r>
    <n v="1703185"/>
    <n v="245"/>
    <s v="DISTURBANCE, OTHER"/>
    <d v="2016-03-28T01:29:00"/>
    <x v="14"/>
  </r>
  <r>
    <n v="1703186"/>
    <n v="63"/>
    <s v="THEFT - CAR PROWL"/>
    <d v="2016-03-28T01:20:00"/>
    <x v="11"/>
  </r>
  <r>
    <n v="1703187"/>
    <n v="245"/>
    <s v="DISTURBANCE, OTHER"/>
    <d v="2016-03-28T01:29:00"/>
    <x v="10"/>
  </r>
  <r>
    <n v="1703188"/>
    <n v="40"/>
    <s v="ASSAULTS, OTHER"/>
    <d v="2016-03-28T01:46:00"/>
    <x v="13"/>
  </r>
  <r>
    <n v="1703189"/>
    <n v="65"/>
    <s v="THEFT - MISCELLANEOUS"/>
    <d v="2016-03-28T01:43:00"/>
    <x v="13"/>
  </r>
  <r>
    <n v="1703190"/>
    <n v="177"/>
    <s v="LIQUOR VIOLATION - INTOXICATED PERSON"/>
    <d v="2016-03-28T02:00:00"/>
    <x v="6"/>
  </r>
  <r>
    <n v="1703191"/>
    <n v="280"/>
    <s v="SUSPICIOUS PERSON"/>
    <d v="2016-03-28T01:59:00"/>
    <x v="14"/>
  </r>
  <r>
    <n v="1703192"/>
    <n v="245"/>
    <s v="DISTURBANCE, OTHER"/>
    <d v="2016-03-28T02:03:00"/>
    <x v="7"/>
  </r>
  <r>
    <n v="1703193"/>
    <n v="200"/>
    <s v="ALACAD - COMMERCIAL BURGLARY (FALSE)"/>
    <d v="2016-03-28T01:56:00"/>
    <x v="4"/>
  </r>
  <r>
    <n v="1703194"/>
    <n v="460"/>
    <s v="TRAFFIC (MOVING) VIOLATION"/>
    <d v="2016-03-28T01:51:00"/>
    <x v="10"/>
  </r>
  <r>
    <n v="1703195"/>
    <n v="177"/>
    <s v="LIQUOR VIOLATION - INTOXICATED PERSON"/>
    <d v="2016-03-28T02:26:00"/>
    <x v="13"/>
  </r>
  <r>
    <n v="1703196"/>
    <n v="245"/>
    <s v="DISTURBANCE, OTHER"/>
    <d v="2016-03-28T02:32:00"/>
    <x v="7"/>
  </r>
  <r>
    <n v="1703197"/>
    <n v="245"/>
    <s v="DISTURBANCE, OTHER"/>
    <d v="2016-03-28T02:34:00"/>
    <x v="7"/>
  </r>
  <r>
    <n v="1703198"/>
    <n v="350"/>
    <s v="HAZARDS"/>
    <d v="2016-03-28T02:17:00"/>
    <x v="1"/>
  </r>
  <r>
    <n v="1703199"/>
    <n v="161"/>
    <s v="TRESPASS"/>
    <d v="2016-03-28T02:33:00"/>
    <x v="13"/>
  </r>
  <r>
    <n v="1703200"/>
    <n v="280"/>
    <s v="SUSPICIOUS PERSON"/>
    <d v="2016-03-28T02:17:00"/>
    <x v="14"/>
  </r>
  <r>
    <n v="1703201"/>
    <n v="250"/>
    <s v="MISCHIEF, NUISANCE COMPLAINTS"/>
    <d v="2016-03-28T02:22:00"/>
    <x v="5"/>
  </r>
  <r>
    <n v="1703202"/>
    <n v="261"/>
    <s v="ANIMAL NOISE, STRAYS, BITES"/>
    <d v="2016-03-28T02:14:00"/>
    <x v="11"/>
  </r>
  <r>
    <n v="1703203"/>
    <n v="280"/>
    <s v="SUSPICIOUS PERSON"/>
    <d v="2016-03-28T02:30:00"/>
    <x v="7"/>
  </r>
  <r>
    <n v="1703204"/>
    <n v="183"/>
    <s v="NARCOTICS FOUND, RECOVERED"/>
    <d v="2016-03-28T02:28:00"/>
    <x v="16"/>
  </r>
  <r>
    <n v="1703205"/>
    <n v="71"/>
    <s v="AUTO THEFT"/>
    <d v="2016-03-28T02:24:00"/>
    <x v="9"/>
  </r>
  <r>
    <n v="1703206"/>
    <n v="53"/>
    <s v="BURGLARY - UNOCCUPIED STRUCTURE ON RESIDENTIAL PROPERTY"/>
    <d v="2016-03-28T02:07:00"/>
    <x v="13"/>
  </r>
  <r>
    <n v="1703207"/>
    <n v="261"/>
    <s v="ANIMAL NOISE, STRAYS, BITES"/>
    <d v="2016-03-28T02:38:00"/>
    <x v="0"/>
  </r>
  <r>
    <n v="1703209"/>
    <n v="244"/>
    <s v="NOISE DISTURBANCE"/>
    <d v="2016-03-28T02:54:00"/>
    <x v="7"/>
  </r>
  <r>
    <n v="1703210"/>
    <n v="280"/>
    <s v="SUSPICIOUS PERSON"/>
    <d v="2016-03-28T02:47:00"/>
    <x v="9"/>
  </r>
  <r>
    <n v="1703211"/>
    <n v="200"/>
    <s v="ALACAD - COMMERCIAL BURGLARY (FALSE)"/>
    <d v="2016-03-28T02:41:00"/>
    <x v="7"/>
  </r>
  <r>
    <n v="1703212"/>
    <n v="161"/>
    <s v="TRESPASS"/>
    <d v="2016-03-28T03:01:00"/>
    <x v="11"/>
  </r>
  <r>
    <n v="1703213"/>
    <n v="460"/>
    <s v="TRAFFIC (MOVING) VIOLATION"/>
    <d v="2016-03-28T02:50:00"/>
    <x v="3"/>
  </r>
  <r>
    <n v="1703214"/>
    <n v="184"/>
    <s v="NARCOTICS, OTHER"/>
    <d v="2016-03-28T02:52:00"/>
    <x v="13"/>
  </r>
  <r>
    <n v="1703215"/>
    <n v="430"/>
    <s v="MOTOR VEHICLE COLLISION"/>
    <d v="2016-03-28T03:03:00"/>
    <x v="1"/>
  </r>
  <r>
    <n v="1703216"/>
    <n v="184"/>
    <s v="NARCOTICS, OTHER"/>
    <d v="2016-03-28T02:52:00"/>
    <x v="10"/>
  </r>
  <r>
    <n v="1703217"/>
    <n v="245"/>
    <s v="DISTURBANCE, OTHER"/>
    <d v="2016-03-28T03:07:00"/>
    <x v="3"/>
  </r>
  <r>
    <n v="1703218"/>
    <n v="40"/>
    <s v="ASSAULTS, OTHER"/>
    <d v="2016-03-28T03:09:00"/>
    <x v="4"/>
  </r>
  <r>
    <n v="1703219"/>
    <n v="460"/>
    <s v="TRAFFIC (MOVING) VIOLATION"/>
    <d v="2016-03-28T03:12:00"/>
    <x v="7"/>
  </r>
  <r>
    <n v="1703220"/>
    <n v="220"/>
    <s v="CRISIS COMPLAINT - GENERAL"/>
    <d v="2016-03-28T03:16:00"/>
    <x v="16"/>
  </r>
  <r>
    <n v="1703221"/>
    <n v="40"/>
    <s v="ASSAULTS, OTHER"/>
    <d v="2016-03-28T03:21:00"/>
    <x v="7"/>
  </r>
  <r>
    <n v="1703222"/>
    <n v="280"/>
    <s v="SUSPICIOUS PERSON"/>
    <d v="2016-03-28T03:29:00"/>
    <x v="5"/>
  </r>
  <r>
    <n v="1703223"/>
    <n v="280"/>
    <s v="SUSPICIOUS PERSON"/>
    <d v="2016-03-28T03:21:00"/>
    <x v="13"/>
  </r>
  <r>
    <n v="1703224"/>
    <n v="245"/>
    <s v="DISTURBANCE, OTHER"/>
    <d v="2016-03-27T17:34:00"/>
    <x v="1"/>
  </r>
  <r>
    <n v="1703225"/>
    <n v="161"/>
    <s v="TRESPASS"/>
    <d v="2016-03-28T03:33:00"/>
    <x v="13"/>
  </r>
  <r>
    <n v="1703226"/>
    <n v="280"/>
    <s v="SUSPICIOUS PERSON"/>
    <d v="2016-03-28T03:55:00"/>
    <x v="16"/>
  </r>
  <r>
    <n v="1703227"/>
    <n v="460"/>
    <s v="TRAFFIC (MOVING) VIOLATION"/>
    <d v="2016-03-28T03:48:00"/>
    <x v="0"/>
  </r>
  <r>
    <n v="1703228"/>
    <n v="177"/>
    <s v="LIQUOR VIOLATION - INTOXICATED PERSON"/>
    <d v="2016-03-28T03:59:00"/>
    <x v="7"/>
  </r>
  <r>
    <n v="1703229"/>
    <n v="460"/>
    <s v="TRAFFIC (MOVING) VIOLATION"/>
    <d v="2016-03-28T04:08:00"/>
    <x v="3"/>
  </r>
  <r>
    <n v="1703230"/>
    <n v="244"/>
    <s v="NOISE DISTURBANCE"/>
    <d v="2016-03-28T04:11:00"/>
    <x v="2"/>
  </r>
  <r>
    <n v="1703231"/>
    <n v="201"/>
    <s v="ALACAD - RESIDENTIAL BURGLARY (FALSE)"/>
    <d v="2016-03-28T04:02:00"/>
    <x v="11"/>
  </r>
  <r>
    <n v="1703232"/>
    <n v="460"/>
    <s v="TRAFFIC (MOVING) VIOLATION"/>
    <d v="2016-03-28T04:25:00"/>
    <x v="3"/>
  </r>
  <r>
    <n v="1703233"/>
    <n v="200"/>
    <s v="ALACAD - COMMERCIAL BURGLARY (FALSE)"/>
    <d v="2016-03-28T04:21:00"/>
    <x v="10"/>
  </r>
  <r>
    <n v="1703234"/>
    <n v="244"/>
    <s v="NOISE DISTURBANCE"/>
    <d v="2016-03-28T04:26:00"/>
    <x v="11"/>
  </r>
  <r>
    <n v="1703235"/>
    <n v="200"/>
    <s v="ALACAD - COMMERCIAL BURGLARY (FALSE)"/>
    <d v="2016-03-28T04:21:00"/>
    <x v="10"/>
  </r>
  <r>
    <n v="1703236"/>
    <n v="53"/>
    <s v="BURGLARY - UNOCCUPIED STRUCTURE ON RESIDENTIAL PROPERTY"/>
    <d v="2016-03-28T04:32:00"/>
    <x v="3"/>
  </r>
  <r>
    <n v="1703237"/>
    <n v="281"/>
    <s v="SUSPICIOUS VEHICLE"/>
    <d v="2016-03-28T04:30:00"/>
    <x v="8"/>
  </r>
  <r>
    <n v="1703238"/>
    <n v="244"/>
    <s v="NOISE DISTURBANCE"/>
    <d v="2016-03-28T04:33:00"/>
    <x v="16"/>
  </r>
  <r>
    <n v="1703239"/>
    <n v="280"/>
    <s v="SUSPICIOUS PERSON"/>
    <d v="2016-03-28T04:41:00"/>
    <x v="8"/>
  </r>
  <r>
    <n v="1703240"/>
    <n v="50"/>
    <s v="BURGLARY - RESIDENTIAL, UNOCCUPIED"/>
    <d v="2016-03-28T04:34:00"/>
    <x v="14"/>
  </r>
  <r>
    <n v="1703241"/>
    <n v="350"/>
    <s v="HAZARDS"/>
    <d v="2016-03-28T04:45:00"/>
    <x v="4"/>
  </r>
  <r>
    <n v="1703242"/>
    <n v="450"/>
    <s v="DRIVING WHILE UNDER INFLUENCE (DUI)"/>
    <d v="2016-03-28T04:49:00"/>
    <x v="7"/>
  </r>
  <r>
    <n v="1703243"/>
    <n v="281"/>
    <s v="SUSPICIOUS VEHICLE"/>
    <d v="2016-03-28T05:02:00"/>
    <x v="17"/>
  </r>
  <r>
    <n v="1703244"/>
    <n v="470"/>
    <s v="PARKING VIOLATION (EXCEPT ABANDONED VEHICLES)"/>
    <d v="2016-03-28T05:05:00"/>
    <x v="8"/>
  </r>
  <r>
    <n v="1703245"/>
    <n v="245"/>
    <s v="DISTURBANCE, OTHER"/>
    <d v="2016-03-28T05:01:00"/>
    <x v="7"/>
  </r>
  <r>
    <n v="1703246"/>
    <n v="201"/>
    <s v="ALACAD - RESIDENTIAL BURGLARY (FALSE)"/>
    <d v="2016-03-28T05:00:00"/>
    <x v="17"/>
  </r>
  <r>
    <n v="1703247"/>
    <n v="220"/>
    <s v="CRISIS COMPLAINT - GENERAL"/>
    <d v="2016-03-28T05:05:00"/>
    <x v="14"/>
  </r>
  <r>
    <n v="1703248"/>
    <n v="177"/>
    <s v="LIQUOR VIOLATION - INTOXICATED PERSON"/>
    <d v="2016-03-28T05:21:00"/>
    <x v="6"/>
  </r>
  <r>
    <n v="1703249"/>
    <n v="460"/>
    <s v="TRAFFIC (MOVING) VIOLATION"/>
    <d v="2016-03-28T05:16:00"/>
    <x v="0"/>
  </r>
  <r>
    <n v="1703250"/>
    <n v="244"/>
    <s v="NOISE DISTURBANCE"/>
    <d v="2016-03-28T05:23:00"/>
    <x v="6"/>
  </r>
  <r>
    <n v="1703251"/>
    <n v="201"/>
    <s v="ALACAD - RESIDENTIAL BURGLARY (FALSE)"/>
    <d v="2016-03-28T05:11:00"/>
    <x v="11"/>
  </r>
  <r>
    <n v="1703252"/>
    <n v="460"/>
    <s v="TRAFFIC (MOVING) VIOLATION"/>
    <d v="2016-03-28T05:30:00"/>
    <x v="0"/>
  </r>
  <r>
    <n v="1703253"/>
    <n v="430"/>
    <s v="MOTOR VEHICLE COLLISION"/>
    <d v="2016-03-28T05:21:00"/>
    <x v="9"/>
  </r>
  <r>
    <n v="1703254"/>
    <n v="465"/>
    <s v="PEDESTRIAN VIOLATION"/>
    <d v="2016-03-28T05:24:00"/>
    <x v="10"/>
  </r>
  <r>
    <n v="1703255"/>
    <n v="244"/>
    <s v="NOISE DISTURBANCE"/>
    <d v="2016-03-28T05:34:00"/>
    <x v="12"/>
  </r>
  <r>
    <n v="1703256"/>
    <n v="245"/>
    <s v="DISTURBANCE, OTHER"/>
    <d v="2016-03-28T05:49:00"/>
    <x v="16"/>
  </r>
  <r>
    <n v="1703257"/>
    <n v="282"/>
    <s v="SUSPICIOUS CIRCUMSTANCES - BUILDING (OPEN DOOR, ETC.)"/>
    <d v="2016-03-28T05:51:00"/>
    <x v="15"/>
  </r>
  <r>
    <n v="1703258"/>
    <n v="245"/>
    <s v="DISTURBANCE, OTHER"/>
    <d v="2016-03-28T06:03:00"/>
    <x v="7"/>
  </r>
  <r>
    <n v="1703259"/>
    <n v="245"/>
    <s v="DISTURBANCE, OTHER"/>
    <d v="2016-03-28T06:03:00"/>
    <x v="6"/>
  </r>
  <r>
    <n v="1703260"/>
    <n v="460"/>
    <s v="TRAFFIC (MOVING) VIOLATION"/>
    <d v="2016-03-28T05:59:00"/>
    <x v="0"/>
  </r>
  <r>
    <n v="1703261"/>
    <n v="245"/>
    <s v="DISTURBANCE, OTHER"/>
    <d v="2016-03-28T05:55:00"/>
    <x v="14"/>
  </r>
  <r>
    <n v="1703262"/>
    <n v="200"/>
    <s v="ALACAD - COMMERCIAL BURGLARY (FALSE)"/>
    <d v="2016-03-28T05:58:00"/>
    <x v="14"/>
  </r>
  <r>
    <n v="1703263"/>
    <n v="161"/>
    <s v="TRESPASS"/>
    <d v="2016-03-28T05:58:00"/>
    <x v="6"/>
  </r>
  <r>
    <n v="1703264"/>
    <n v="470"/>
    <s v="PARKING VIOLATION (EXCEPT ABANDONED VEHICLES)"/>
    <d v="2016-03-28T05:51:00"/>
    <x v="11"/>
  </r>
  <r>
    <n v="1703265"/>
    <n v="280"/>
    <s v="SUSPICIOUS PERSON"/>
    <d v="2016-03-28T06:13:00"/>
    <x v="9"/>
  </r>
  <r>
    <n v="1703266"/>
    <n v="200"/>
    <s v="ALACAD - COMMERCIAL BURGLARY (FALSE)"/>
    <d v="2016-03-28T06:04:00"/>
    <x v="10"/>
  </r>
  <r>
    <n v="1703268"/>
    <n v="460"/>
    <s v="TRAFFIC (MOVING) VIOLATION"/>
    <d v="2016-03-28T06:22:00"/>
    <x v="0"/>
  </r>
  <r>
    <n v="1703269"/>
    <n v="139"/>
    <s v="GANG GRAFFITI"/>
    <d v="2016-03-28T06:24:00"/>
    <x v="11"/>
  </r>
  <r>
    <n v="1703270"/>
    <n v="244"/>
    <s v="NOISE DISTURBANCE"/>
    <d v="2016-03-28T06:40:00"/>
    <x v="3"/>
  </r>
  <r>
    <n v="1703271"/>
    <n v="200"/>
    <s v="ALACAD - COMMERCIAL BURGLARY (FALSE)"/>
    <d v="2016-03-28T06:39:00"/>
    <x v="2"/>
  </r>
  <r>
    <n v="1703272"/>
    <n v="250"/>
    <s v="MISCHIEF, NUISANCE COMPLAINTS"/>
    <d v="2016-03-28T06:32:00"/>
    <x v="17"/>
  </r>
  <r>
    <n v="1703273"/>
    <n v="245"/>
    <s v="DISTURBANCE, OTHER"/>
    <d v="2016-03-28T06:34:00"/>
    <x v="12"/>
  </r>
  <r>
    <n v="1703274"/>
    <n v="430"/>
    <s v="MOTOR VEHICLE COLLISION"/>
    <d v="2016-03-28T06:36:00"/>
    <x v="3"/>
  </r>
  <r>
    <n v="1703275"/>
    <n v="200"/>
    <s v="ALACAD - COMMERCIAL BURGLARY (FALSE)"/>
    <d v="2016-03-28T06:58:00"/>
    <x v="14"/>
  </r>
  <r>
    <n v="1703276"/>
    <n v="200"/>
    <s v="ALACAD - COMMERCIAL BURGLARY (FALSE)"/>
    <d v="2016-03-28T06:59:00"/>
    <x v="15"/>
  </r>
  <r>
    <n v="1703277"/>
    <n v="200"/>
    <s v="ALACAD - COMMERCIAL BURGLARY (FALSE)"/>
    <d v="2016-03-28T07:05:00"/>
    <x v="12"/>
  </r>
  <r>
    <n v="1703278"/>
    <n v="71"/>
    <s v="AUTO THEFT"/>
    <d v="2016-03-28T06:55:00"/>
    <x v="3"/>
  </r>
  <r>
    <n v="1703279"/>
    <n v="470"/>
    <s v="PARKING VIOLATION (EXCEPT ABANDONED VEHICLES)"/>
    <d v="2016-03-28T07:01:00"/>
    <x v="3"/>
  </r>
  <r>
    <n v="1703280"/>
    <n v="450"/>
    <s v="DRIVING WHILE UNDER INFLUENCE (DUI)"/>
    <d v="2016-03-28T06:57:00"/>
    <x v="13"/>
  </r>
  <r>
    <n v="1703281"/>
    <n v="470"/>
    <s v="PARKING VIOLATION (EXCEPT ABANDONED VEHICLES)"/>
    <d v="2016-03-28T07:03:00"/>
    <x v="7"/>
  </r>
  <r>
    <n v="1703282"/>
    <n v="250"/>
    <s v="MISCHIEF, NUISANCE COMPLAINTS"/>
    <d v="2016-03-28T07:28:00"/>
    <x v="10"/>
  </r>
  <r>
    <n v="1703283"/>
    <n v="201"/>
    <s v="ALACAD - RESIDENTIAL BURGLARY (FALSE)"/>
    <d v="2016-03-28T07:22:00"/>
    <x v="11"/>
  </r>
  <r>
    <n v="1703284"/>
    <n v="280"/>
    <s v="SUSPICIOUS PERSON"/>
    <d v="2016-03-28T07:21:00"/>
    <x v="9"/>
  </r>
  <r>
    <n v="1703285"/>
    <n v="245"/>
    <s v="DISTURBANCE, OTHER"/>
    <d v="2016-03-28T07:29:00"/>
    <x v="10"/>
  </r>
  <r>
    <n v="1703286"/>
    <n v="52"/>
    <s v="BURGLARY - COMMERCIAL"/>
    <d v="2016-03-28T07:25:00"/>
    <x v="14"/>
  </r>
  <r>
    <n v="1703287"/>
    <n v="460"/>
    <s v="TRAFFIC (MOVING) VIOLATION"/>
    <d v="2016-03-28T07:25:00"/>
    <x v="7"/>
  </r>
  <r>
    <n v="1703288"/>
    <n v="201"/>
    <s v="ALACAD - RESIDENTIAL BURGLARY (FALSE)"/>
    <d v="2016-03-28T07:42:00"/>
    <x v="11"/>
  </r>
  <r>
    <n v="1703289"/>
    <n v="250"/>
    <s v="MISCHIEF, NUISANCE COMPLAINTS"/>
    <d v="2016-03-28T07:38:00"/>
    <x v="10"/>
  </r>
  <r>
    <n v="1703290"/>
    <n v="64"/>
    <s v="SHOPLIFT"/>
    <d v="2016-03-28T07:44:00"/>
    <x v="11"/>
  </r>
  <r>
    <n v="1703291"/>
    <n v="161"/>
    <s v="TRESPASS"/>
    <d v="2016-03-28T07:32:00"/>
    <x v="10"/>
  </r>
  <r>
    <n v="1703292"/>
    <n v="250"/>
    <s v="MISCHIEF, NUISANCE COMPLAINTS"/>
    <d v="2016-03-28T07:39:00"/>
    <x v="13"/>
  </r>
  <r>
    <n v="1703294"/>
    <n v="161"/>
    <s v="TRESPASS"/>
    <d v="2016-03-28T07:43:00"/>
    <x v="1"/>
  </r>
  <r>
    <n v="1703295"/>
    <n v="470"/>
    <s v="PARKING VIOLATION (EXCEPT ABANDONED VEHICLES)"/>
    <d v="2016-03-28T07:58:00"/>
    <x v="12"/>
  </r>
  <r>
    <n v="1703296"/>
    <n v="430"/>
    <s v="MOTOR VEHICLE COLLISION"/>
    <d v="2016-03-28T07:53:00"/>
    <x v="7"/>
  </r>
  <r>
    <n v="1703297"/>
    <n v="30"/>
    <s v="ARMED ROBBERY"/>
    <d v="2016-03-28T06:15:00"/>
    <x v="12"/>
  </r>
  <r>
    <n v="1703298"/>
    <n v="280"/>
    <s v="SUSPICIOUS PERSON"/>
    <d v="2016-03-28T08:07:00"/>
    <x v="8"/>
  </r>
  <r>
    <n v="1703299"/>
    <n v="250"/>
    <s v="MISCHIEF, NUISANCE COMPLAINTS"/>
    <d v="2016-03-28T08:00:00"/>
    <x v="14"/>
  </r>
  <r>
    <n v="1703300"/>
    <n v="280"/>
    <s v="SUSPICIOUS PERSON"/>
    <d v="2016-03-28T08:11:00"/>
    <x v="8"/>
  </r>
  <r>
    <n v="1703301"/>
    <n v="470"/>
    <s v="PARKING VIOLATION (EXCEPT ABANDONED VEHICLES)"/>
    <d v="2016-03-28T08:08:00"/>
    <x v="12"/>
  </r>
  <r>
    <n v="1703302"/>
    <n v="470"/>
    <s v="PARKING VIOLATION (EXCEPT ABANDONED VEHICLES)"/>
    <d v="2016-03-28T08:05:00"/>
    <x v="10"/>
  </r>
  <r>
    <n v="1703303"/>
    <n v="415"/>
    <s v="BLOCKING VEHICLE"/>
    <d v="2016-03-28T08:25:00"/>
    <x v="11"/>
  </r>
  <r>
    <n v="1703304"/>
    <n v="245"/>
    <s v="DISTURBANCE, OTHER"/>
    <d v="2016-03-28T08:30:00"/>
    <x v="10"/>
  </r>
  <r>
    <n v="1703305"/>
    <n v="280"/>
    <s v="SUSPICIOUS PERSON"/>
    <d v="2016-03-28T08:29:00"/>
    <x v="8"/>
  </r>
  <r>
    <n v="1703306"/>
    <n v="460"/>
    <s v="TRAFFIC (MOVING) VIOLATION"/>
    <d v="2016-03-28T08:30:00"/>
    <x v="3"/>
  </r>
  <r>
    <n v="1703307"/>
    <n v="280"/>
    <s v="SUSPICIOUS PERSON"/>
    <d v="2016-03-28T08:28:00"/>
    <x v="0"/>
  </r>
  <r>
    <n v="1703308"/>
    <n v="280"/>
    <s v="SUSPICIOUS PERSON"/>
    <d v="2016-03-28T08:23:00"/>
    <x v="2"/>
  </r>
  <r>
    <n v="1703309"/>
    <n v="41"/>
    <s v="HARASSMENT, THREATS"/>
    <d v="2016-03-28T08:29:00"/>
    <x v="8"/>
  </r>
  <r>
    <n v="1703310"/>
    <n v="460"/>
    <s v="TRAFFIC (MOVING) VIOLATION"/>
    <d v="2016-03-28T08:43:00"/>
    <x v="6"/>
  </r>
  <r>
    <n v="1703311"/>
    <n v="245"/>
    <s v="DISTURBANCE, OTHER"/>
    <d v="2016-03-28T08:31:00"/>
    <x v="10"/>
  </r>
  <r>
    <n v="1703312"/>
    <n v="280"/>
    <s v="SUSPICIOUS PERSON"/>
    <d v="2016-03-28T08:30:00"/>
    <x v="15"/>
  </r>
  <r>
    <n v="1703313"/>
    <n v="470"/>
    <s v="PARKING VIOLATION (EXCEPT ABANDONED VEHICLES)"/>
    <d v="2016-03-28T08:48:00"/>
    <x v="2"/>
  </r>
  <r>
    <n v="1703314"/>
    <n v="250"/>
    <s v="MISCHIEF, NUISANCE COMPLAINTS"/>
    <d v="2016-03-28T08:47:00"/>
    <x v="10"/>
  </r>
  <r>
    <n v="1703315"/>
    <n v="40"/>
    <s v="ASSAULTS, OTHER"/>
    <d v="2016-03-28T08:49:00"/>
    <x v="17"/>
  </r>
  <r>
    <n v="1703316"/>
    <n v="430"/>
    <s v="MOTOR VEHICLE COLLISION"/>
    <d v="2016-03-28T08:48:00"/>
    <x v="5"/>
  </r>
  <r>
    <n v="1703317"/>
    <n v="130"/>
    <s v="PROPERTY DESTRUCTION"/>
    <d v="2016-03-28T08:49:00"/>
    <x v="13"/>
  </r>
  <r>
    <n v="1703318"/>
    <n v="280"/>
    <s v="SUSPICIOUS PERSON"/>
    <d v="2016-03-28T08:42:00"/>
    <x v="17"/>
  </r>
  <r>
    <n v="1703319"/>
    <n v="52"/>
    <s v="BURGLARY - COMMERCIAL"/>
    <d v="2016-03-28T08:56:00"/>
    <x v="11"/>
  </r>
  <r>
    <n v="1703320"/>
    <n v="161"/>
    <s v="TRESPASS"/>
    <d v="2016-03-28T08:50:00"/>
    <x v="14"/>
  </r>
  <r>
    <n v="1703321"/>
    <n v="161"/>
    <s v="TRESPASS"/>
    <d v="2016-03-28T08:56:00"/>
    <x v="13"/>
  </r>
  <r>
    <n v="1703322"/>
    <n v="63"/>
    <s v="THEFT - CAR PROWL"/>
    <d v="2016-03-28T08:56:00"/>
    <x v="7"/>
  </r>
  <r>
    <n v="1703323"/>
    <n v="470"/>
    <s v="PARKING VIOLATION (EXCEPT ABANDONED VEHICLES)"/>
    <d v="2016-03-28T08:50:00"/>
    <x v="1"/>
  </r>
  <r>
    <n v="1703324"/>
    <n v="160"/>
    <s v="PROWLER"/>
    <d v="2016-03-28T08:56:00"/>
    <x v="8"/>
  </r>
  <r>
    <n v="1703325"/>
    <n v="220"/>
    <s v="CRISIS COMPLAINT - GENERAL"/>
    <d v="2016-03-28T08:52:00"/>
    <x v="16"/>
  </r>
  <r>
    <n v="1703326"/>
    <n v="430"/>
    <s v="MOTOR VEHICLE COLLISION"/>
    <d v="2016-03-28T09:06:00"/>
    <x v="1"/>
  </r>
  <r>
    <n v="1703327"/>
    <n v="220"/>
    <s v="CRISIS COMPLAINT - GENERAL"/>
    <d v="2016-03-28T09:09:00"/>
    <x v="7"/>
  </r>
  <r>
    <n v="1703328"/>
    <n v="470"/>
    <s v="PARKING VIOLATION (EXCEPT ABANDONED VEHICLES)"/>
    <d v="2016-03-28T09:16:00"/>
    <x v="7"/>
  </r>
  <r>
    <n v="1703329"/>
    <n v="470"/>
    <s v="PARKING VIOLATION (EXCEPT ABANDONED VEHICLES)"/>
    <d v="2016-03-28T09:13:00"/>
    <x v="0"/>
  </r>
  <r>
    <n v="1703330"/>
    <n v="64"/>
    <s v="SHOPLIFT"/>
    <d v="2016-03-28T09:20:00"/>
    <x v="3"/>
  </r>
  <r>
    <n v="1703331"/>
    <n v="245"/>
    <s v="DISTURBANCE, OTHER"/>
    <d v="2016-03-28T09:37:00"/>
    <x v="10"/>
  </r>
  <r>
    <n v="1703332"/>
    <n v="64"/>
    <s v="SHOPLIFT"/>
    <d v="2016-03-28T09:33:00"/>
    <x v="1"/>
  </r>
  <r>
    <n v="1703333"/>
    <n v="245"/>
    <s v="DISTURBANCE, OTHER"/>
    <d v="2016-03-28T09:34:00"/>
    <x v="7"/>
  </r>
  <r>
    <n v="1703334"/>
    <n v="280"/>
    <s v="SUSPICIOUS PERSON"/>
    <d v="2016-03-28T09:35:00"/>
    <x v="15"/>
  </r>
  <r>
    <n v="1703335"/>
    <n v="470"/>
    <s v="PARKING VIOLATION (EXCEPT ABANDONED VEHICLES)"/>
    <d v="2016-03-28T09:31:00"/>
    <x v="17"/>
  </r>
  <r>
    <n v="1703336"/>
    <n v="470"/>
    <s v="PARKING VIOLATION (EXCEPT ABANDONED VEHICLES)"/>
    <d v="2016-03-28T09:32:00"/>
    <x v="12"/>
  </r>
  <r>
    <n v="1703337"/>
    <n v="64"/>
    <s v="SHOPLIFT"/>
    <d v="2016-03-28T09:48:00"/>
    <x v="11"/>
  </r>
  <r>
    <n v="1703338"/>
    <n v="101"/>
    <s v="FORGERY, BAD CHECKS"/>
    <d v="2016-03-28T09:45:00"/>
    <x v="5"/>
  </r>
  <r>
    <n v="1703339"/>
    <n v="430"/>
    <s v="MOTOR VEHICLE COLLISION"/>
    <d v="2016-03-28T09:49:00"/>
    <x v="14"/>
  </r>
  <r>
    <n v="1703340"/>
    <n v="63"/>
    <s v="THEFT - CAR PROWL"/>
    <d v="2016-03-28T09:51:00"/>
    <x v="5"/>
  </r>
  <r>
    <n v="1703341"/>
    <n v="470"/>
    <s v="PARKING VIOLATION (EXCEPT ABANDONED VEHICLES)"/>
    <d v="2016-03-28T09:42:00"/>
    <x v="9"/>
  </r>
  <r>
    <n v="1703342"/>
    <n v="470"/>
    <s v="PARKING VIOLATION (EXCEPT ABANDONED VEHICLES)"/>
    <d v="2016-03-28T09:50:00"/>
    <x v="3"/>
  </r>
  <r>
    <n v="1703343"/>
    <n v="176"/>
    <s v="LIQUOR VIOLATION - ADULT"/>
    <d v="2016-03-28T09:54:00"/>
    <x v="14"/>
  </r>
  <r>
    <n v="1703344"/>
    <n v="161"/>
    <s v="TRESPASS"/>
    <d v="2016-03-28T09:56:00"/>
    <x v="12"/>
  </r>
  <r>
    <n v="1703345"/>
    <n v="63"/>
    <s v="THEFT - CAR PROWL"/>
    <d v="2016-03-28T09:51:00"/>
    <x v="2"/>
  </r>
  <r>
    <n v="1703346"/>
    <n v="130"/>
    <s v="PROPERTY DESTRUCTION"/>
    <d v="2016-03-28T09:57:00"/>
    <x v="9"/>
  </r>
  <r>
    <n v="1703347"/>
    <n v="245"/>
    <s v="DISTURBANCE, OTHER"/>
    <d v="2016-03-28T09:53:00"/>
    <x v="12"/>
  </r>
  <r>
    <n v="1703348"/>
    <n v="52"/>
    <s v="BURGLARY - COMMERCIAL"/>
    <d v="2016-03-28T09:56:00"/>
    <x v="14"/>
  </r>
  <r>
    <n v="1703349"/>
    <n v="245"/>
    <s v="DISTURBANCE, OTHER"/>
    <d v="2016-03-28T10:07:00"/>
    <x v="6"/>
  </r>
  <r>
    <n v="1703350"/>
    <n v="177"/>
    <s v="LIQUOR VIOLATION - INTOXICATED PERSON"/>
    <d v="2016-03-28T10:06:00"/>
    <x v="8"/>
  </r>
  <r>
    <n v="1703351"/>
    <n v="281"/>
    <s v="SUSPICIOUS VEHICLE"/>
    <d v="2016-03-28T10:04:00"/>
    <x v="16"/>
  </r>
  <r>
    <n v="1703352"/>
    <n v="280"/>
    <s v="SUSPICIOUS PERSON"/>
    <d v="2016-03-28T10:16:00"/>
    <x v="5"/>
  </r>
  <r>
    <n v="1703354"/>
    <n v="460"/>
    <s v="TRAFFIC (MOVING) VIOLATION"/>
    <d v="2016-03-28T10:10:00"/>
    <x v="4"/>
  </r>
  <r>
    <n v="1703355"/>
    <n v="430"/>
    <s v="MOTOR VEHICLE COLLISION"/>
    <d v="2016-03-28T10:18:00"/>
    <x v="0"/>
  </r>
  <r>
    <n v="1703356"/>
    <n v="470"/>
    <s v="PARKING VIOLATION (EXCEPT ABANDONED VEHICLES)"/>
    <d v="2016-03-28T10:15:00"/>
    <x v="8"/>
  </r>
  <r>
    <n v="1703357"/>
    <n v="41"/>
    <s v="HARASSMENT, THREATS"/>
    <d v="2016-03-28T10:13:00"/>
    <x v="4"/>
  </r>
  <r>
    <n v="1703358"/>
    <n v="71"/>
    <s v="AUTO THEFT"/>
    <d v="2016-03-28T10:12:00"/>
    <x v="15"/>
  </r>
  <r>
    <n v="1703359"/>
    <n v="330"/>
    <s v="CASUALTY (NON CRIMINAL/TRAFFIC) - MAN DOWN, SICK PERSONS, INJURED, DOA)"/>
    <d v="2016-03-28T10:10:00"/>
    <x v="7"/>
  </r>
  <r>
    <n v="1703360"/>
    <n v="371"/>
    <s v="PROPERTY - MISSING"/>
    <d v="2016-03-28T10:25:00"/>
    <x v="13"/>
  </r>
  <r>
    <n v="1703361"/>
    <n v="63"/>
    <s v="THEFT - CAR PROWL"/>
    <d v="2016-03-28T10:29:00"/>
    <x v="8"/>
  </r>
  <r>
    <n v="1703362"/>
    <n v="430"/>
    <s v="MOTOR VEHICLE COLLISION"/>
    <d v="2016-03-28T10:26:00"/>
    <x v="17"/>
  </r>
  <r>
    <n v="1703363"/>
    <n v="460"/>
    <s v="TRAFFIC (MOVING) VIOLATION"/>
    <d v="2016-03-28T10:28:00"/>
    <x v="12"/>
  </r>
  <r>
    <n v="1703364"/>
    <n v="202"/>
    <s v="ALACAD - COMMERCIAL PANIC (FALSE)"/>
    <d v="2016-03-28T10:39:00"/>
    <x v="2"/>
  </r>
  <r>
    <n v="1703365"/>
    <n v="470"/>
    <s v="PARKING VIOLATION (EXCEPT ABANDONED VEHICLES)"/>
    <d v="2016-03-28T10:34:00"/>
    <x v="7"/>
  </r>
  <r>
    <n v="1703366"/>
    <n v="245"/>
    <s v="DISTURBANCE, OTHER"/>
    <d v="2016-03-28T10:31:00"/>
    <x v="12"/>
  </r>
  <r>
    <n v="1703367"/>
    <n v="470"/>
    <s v="PARKING VIOLATION (EXCEPT ABANDONED VEHICLES)"/>
    <d v="2016-03-28T10:39:00"/>
    <x v="12"/>
  </r>
  <r>
    <n v="1703368"/>
    <n v="63"/>
    <s v="THEFT - CAR PROWL"/>
    <d v="2016-03-28T10:37:00"/>
    <x v="11"/>
  </r>
  <r>
    <n v="1703369"/>
    <n v="245"/>
    <s v="DISTURBANCE, OTHER"/>
    <d v="2016-03-28T10:47:00"/>
    <x v="10"/>
  </r>
  <r>
    <n v="1703370"/>
    <n v="245"/>
    <s v="DISTURBANCE, OTHER"/>
    <d v="2016-03-28T10:37:00"/>
    <x v="2"/>
  </r>
  <r>
    <n v="1703371"/>
    <n v="52"/>
    <s v="BURGLARY - COMMERCIAL"/>
    <d v="2016-03-28T10:37:00"/>
    <x v="12"/>
  </r>
  <r>
    <n v="1703372"/>
    <n v="280"/>
    <s v="SUSPICIOUS PERSON"/>
    <d v="2016-03-28T10:55:00"/>
    <x v="14"/>
  </r>
  <r>
    <n v="1703373"/>
    <n v="281"/>
    <s v="SUSPICIOUS VEHICLE"/>
    <d v="2016-03-28T10:45:00"/>
    <x v="11"/>
  </r>
  <r>
    <n v="1703374"/>
    <n v="73"/>
    <s v="AUTO RECOVERY"/>
    <d v="2016-03-28T10:47:00"/>
    <x v="4"/>
  </r>
  <r>
    <n v="1703375"/>
    <n v="250"/>
    <s v="MISCHIEF, NUISANCE COMPLAINTS"/>
    <d v="2016-03-28T11:00:00"/>
    <x v="7"/>
  </r>
  <r>
    <n v="1703376"/>
    <n v="245"/>
    <s v="DISTURBANCE, OTHER"/>
    <d v="2016-03-28T10:55:00"/>
    <x v="7"/>
  </r>
  <r>
    <n v="1703377"/>
    <n v="470"/>
    <s v="PARKING VIOLATION (EXCEPT ABANDONED VEHICLES)"/>
    <d v="2016-03-28T10:55:00"/>
    <x v="6"/>
  </r>
  <r>
    <n v="1703378"/>
    <n v="470"/>
    <s v="PARKING VIOLATION (EXCEPT ABANDONED VEHICLES)"/>
    <d v="2016-03-28T10:53:00"/>
    <x v="14"/>
  </r>
  <r>
    <n v="1703379"/>
    <n v="470"/>
    <s v="PARKING VIOLATION (EXCEPT ABANDONED VEHICLES)"/>
    <d v="2016-03-28T10:55:00"/>
    <x v="12"/>
  </r>
  <r>
    <n v="1703380"/>
    <n v="280"/>
    <s v="SUSPICIOUS PERSON"/>
    <d v="2016-03-28T11:03:00"/>
    <x v="15"/>
  </r>
  <r>
    <n v="1703381"/>
    <n v="460"/>
    <s v="TRAFFIC (MOVING) VIOLATION"/>
    <d v="2016-03-28T11:03:00"/>
    <x v="4"/>
  </r>
  <r>
    <n v="1703382"/>
    <n v="430"/>
    <s v="MOTOR VEHICLE COLLISION"/>
    <d v="2016-03-28T11:03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5">
  <r>
    <n v="1702311"/>
    <n v="242"/>
    <x v="0"/>
  </r>
  <r>
    <n v="1702312"/>
    <n v="470"/>
    <x v="1"/>
  </r>
  <r>
    <n v="1702316"/>
    <n v="460"/>
    <x v="2"/>
  </r>
  <r>
    <n v="1702317"/>
    <n v="280"/>
    <x v="3"/>
  </r>
  <r>
    <n v="1702318"/>
    <n v="281"/>
    <x v="4"/>
  </r>
  <r>
    <n v="1702319"/>
    <n v="176"/>
    <x v="5"/>
  </r>
  <r>
    <n v="1702321"/>
    <n v="245"/>
    <x v="6"/>
  </r>
  <r>
    <n v="1702322"/>
    <n v="201"/>
    <x v="7"/>
  </r>
  <r>
    <n v="1702323"/>
    <n v="245"/>
    <x v="6"/>
  </r>
  <r>
    <n v="1702324"/>
    <n v="65"/>
    <x v="8"/>
  </r>
  <r>
    <n v="1702325"/>
    <n v="245"/>
    <x v="6"/>
  </r>
  <r>
    <n v="1702326"/>
    <n v="280"/>
    <x v="3"/>
  </r>
  <r>
    <n v="1702327"/>
    <n v="460"/>
    <x v="2"/>
  </r>
  <r>
    <n v="1702328"/>
    <n v="280"/>
    <x v="3"/>
  </r>
  <r>
    <n v="1702329"/>
    <n v="245"/>
    <x v="6"/>
  </r>
  <r>
    <n v="1702330"/>
    <n v="281"/>
    <x v="4"/>
  </r>
  <r>
    <n v="1702331"/>
    <n v="52"/>
    <x v="9"/>
  </r>
  <r>
    <n v="1702332"/>
    <n v="250"/>
    <x v="10"/>
  </r>
  <r>
    <n v="1702333"/>
    <n v="177"/>
    <x v="11"/>
  </r>
  <r>
    <n v="1702334"/>
    <n v="363"/>
    <x v="12"/>
  </r>
  <r>
    <n v="1702335"/>
    <n v="245"/>
    <x v="6"/>
  </r>
  <r>
    <n v="1702336"/>
    <n v="430"/>
    <x v="13"/>
  </r>
  <r>
    <n v="1702337"/>
    <n v="280"/>
    <x v="3"/>
  </r>
  <r>
    <n v="1702338"/>
    <n v="280"/>
    <x v="3"/>
  </r>
  <r>
    <n v="1702339"/>
    <n v="186"/>
    <x v="14"/>
  </r>
  <r>
    <n v="1702340"/>
    <n v="245"/>
    <x v="6"/>
  </r>
  <r>
    <n v="1702341"/>
    <n v="372"/>
    <x v="15"/>
  </r>
  <r>
    <n v="1702342"/>
    <n v="63"/>
    <x v="16"/>
  </r>
  <r>
    <n v="1702343"/>
    <n v="470"/>
    <x v="1"/>
  </r>
  <r>
    <n v="1702344"/>
    <n v="161"/>
    <x v="17"/>
  </r>
  <r>
    <n v="1702345"/>
    <n v="74"/>
    <x v="18"/>
  </r>
  <r>
    <n v="1702346"/>
    <n v="430"/>
    <x v="13"/>
  </r>
  <r>
    <n v="1702347"/>
    <n v="280"/>
    <x v="3"/>
  </r>
  <r>
    <n v="1702348"/>
    <n v="245"/>
    <x v="6"/>
  </r>
  <r>
    <n v="1702349"/>
    <n v="460"/>
    <x v="2"/>
  </r>
  <r>
    <n v="1702350"/>
    <n v="245"/>
    <x v="6"/>
  </r>
  <r>
    <n v="1702351"/>
    <n v="341"/>
    <x v="19"/>
  </r>
  <r>
    <n v="1702352"/>
    <n v="245"/>
    <x v="6"/>
  </r>
  <r>
    <n v="1702353"/>
    <n v="245"/>
    <x v="6"/>
  </r>
  <r>
    <n v="1702354"/>
    <n v="280"/>
    <x v="3"/>
  </r>
  <r>
    <n v="1702355"/>
    <n v="363"/>
    <x v="12"/>
  </r>
  <r>
    <n v="1702356"/>
    <n v="51"/>
    <x v="20"/>
  </r>
  <r>
    <n v="1702357"/>
    <n v="40"/>
    <x v="21"/>
  </r>
  <r>
    <n v="1702358"/>
    <n v="100"/>
    <x v="22"/>
  </r>
  <r>
    <n v="1702360"/>
    <n v="430"/>
    <x v="13"/>
  </r>
  <r>
    <n v="1702361"/>
    <n v="250"/>
    <x v="10"/>
  </r>
  <r>
    <n v="1702362"/>
    <n v="177"/>
    <x v="11"/>
  </r>
  <r>
    <n v="1702363"/>
    <n v="245"/>
    <x v="6"/>
  </r>
  <r>
    <n v="1702364"/>
    <n v="161"/>
    <x v="17"/>
  </r>
  <r>
    <n v="1702365"/>
    <n v="280"/>
    <x v="3"/>
  </r>
  <r>
    <n v="1702366"/>
    <n v="430"/>
    <x v="13"/>
  </r>
  <r>
    <n v="1702367"/>
    <n v="41"/>
    <x v="23"/>
  </r>
  <r>
    <n v="1702368"/>
    <n v="430"/>
    <x v="13"/>
  </r>
  <r>
    <n v="1702369"/>
    <n v="430"/>
    <x v="13"/>
  </r>
  <r>
    <n v="1702370"/>
    <n v="63"/>
    <x v="16"/>
  </r>
  <r>
    <n v="1702372"/>
    <n v="242"/>
    <x v="0"/>
  </r>
  <r>
    <n v="1702373"/>
    <n v="410"/>
    <x v="24"/>
  </r>
  <r>
    <n v="1702374"/>
    <n v="71"/>
    <x v="25"/>
  </r>
  <r>
    <n v="1702375"/>
    <n v="430"/>
    <x v="13"/>
  </r>
  <r>
    <n v="1702376"/>
    <n v="430"/>
    <x v="13"/>
  </r>
  <r>
    <n v="1702377"/>
    <n v="177"/>
    <x v="11"/>
  </r>
  <r>
    <n v="1702378"/>
    <n v="184"/>
    <x v="26"/>
  </r>
  <r>
    <n v="1702379"/>
    <n v="245"/>
    <x v="6"/>
  </r>
  <r>
    <n v="1702380"/>
    <n v="53"/>
    <x v="27"/>
  </r>
  <r>
    <n v="1702381"/>
    <n v="63"/>
    <x v="16"/>
  </r>
  <r>
    <n v="1702382"/>
    <n v="64"/>
    <x v="28"/>
  </r>
  <r>
    <n v="1702383"/>
    <n v="470"/>
    <x v="1"/>
  </r>
  <r>
    <n v="1702384"/>
    <n v="203"/>
    <x v="29"/>
  </r>
  <r>
    <n v="1702385"/>
    <n v="430"/>
    <x v="13"/>
  </r>
  <r>
    <n v="1702386"/>
    <n v="470"/>
    <x v="1"/>
  </r>
  <r>
    <n v="1702387"/>
    <n v="470"/>
    <x v="1"/>
  </r>
  <r>
    <n v="1702388"/>
    <n v="281"/>
    <x v="4"/>
  </r>
  <r>
    <n v="1702389"/>
    <n v="430"/>
    <x v="13"/>
  </r>
  <r>
    <n v="1702390"/>
    <n v="470"/>
    <x v="1"/>
  </r>
  <r>
    <n v="1702391"/>
    <n v="292"/>
    <x v="30"/>
  </r>
  <r>
    <n v="1702392"/>
    <n v="281"/>
    <x v="4"/>
  </r>
  <r>
    <n v="1702393"/>
    <n v="430"/>
    <x v="13"/>
  </r>
  <r>
    <n v="1702394"/>
    <n v="220"/>
    <x v="31"/>
  </r>
  <r>
    <n v="1702395"/>
    <n v="280"/>
    <x v="3"/>
  </r>
  <r>
    <n v="1702396"/>
    <n v="250"/>
    <x v="10"/>
  </r>
  <r>
    <n v="1702397"/>
    <n v="280"/>
    <x v="3"/>
  </r>
  <r>
    <n v="1702398"/>
    <n v="220"/>
    <x v="31"/>
  </r>
  <r>
    <n v="1702399"/>
    <n v="242"/>
    <x v="0"/>
  </r>
  <r>
    <n v="1702400"/>
    <n v="64"/>
    <x v="28"/>
  </r>
  <r>
    <n v="1702401"/>
    <n v="63"/>
    <x v="16"/>
  </r>
  <r>
    <n v="1702402"/>
    <n v="100"/>
    <x v="22"/>
  </r>
  <r>
    <n v="1702403"/>
    <n v="245"/>
    <x v="6"/>
  </r>
  <r>
    <n v="1702404"/>
    <n v="200"/>
    <x v="32"/>
  </r>
  <r>
    <n v="1702405"/>
    <n v="245"/>
    <x v="6"/>
  </r>
  <r>
    <n v="1702406"/>
    <n v="280"/>
    <x v="3"/>
  </r>
  <r>
    <n v="1702407"/>
    <n v="40"/>
    <x v="21"/>
  </r>
  <r>
    <n v="1702408"/>
    <n v="40"/>
    <x v="21"/>
  </r>
  <r>
    <n v="1702409"/>
    <n v="71"/>
    <x v="25"/>
  </r>
  <r>
    <n v="1702410"/>
    <n v="430"/>
    <x v="13"/>
  </r>
  <r>
    <n v="1702411"/>
    <n v="470"/>
    <x v="1"/>
  </r>
  <r>
    <n v="1702412"/>
    <n v="184"/>
    <x v="26"/>
  </r>
  <r>
    <n v="1702413"/>
    <n v="139"/>
    <x v="33"/>
  </r>
  <r>
    <n v="1702414"/>
    <n v="161"/>
    <x v="17"/>
  </r>
  <r>
    <n v="1702415"/>
    <n v="245"/>
    <x v="6"/>
  </r>
  <r>
    <n v="1702416"/>
    <n v="281"/>
    <x v="4"/>
  </r>
  <r>
    <n v="1702417"/>
    <n v="460"/>
    <x v="2"/>
  </r>
  <r>
    <n v="1702418"/>
    <n v="460"/>
    <x v="2"/>
  </r>
  <r>
    <n v="1702419"/>
    <n v="242"/>
    <x v="0"/>
  </r>
  <r>
    <n v="1702420"/>
    <n v="200"/>
    <x v="32"/>
  </r>
  <r>
    <n v="1702421"/>
    <n v="280"/>
    <x v="3"/>
  </r>
  <r>
    <n v="1702422"/>
    <n v="261"/>
    <x v="34"/>
  </r>
  <r>
    <n v="1702423"/>
    <n v="250"/>
    <x v="10"/>
  </r>
  <r>
    <n v="1702424"/>
    <n v="220"/>
    <x v="31"/>
  </r>
  <r>
    <n v="1702425"/>
    <n v="63"/>
    <x v="16"/>
  </r>
  <r>
    <n v="1702426"/>
    <n v="50"/>
    <x v="35"/>
  </r>
  <r>
    <n v="1702427"/>
    <n v="63"/>
    <x v="16"/>
  </r>
  <r>
    <n v="1702428"/>
    <n v="41"/>
    <x v="23"/>
  </r>
  <r>
    <n v="1702429"/>
    <n v="280"/>
    <x v="3"/>
  </r>
  <r>
    <n v="1702430"/>
    <n v="200"/>
    <x v="32"/>
  </r>
  <r>
    <n v="1702431"/>
    <n v="161"/>
    <x v="17"/>
  </r>
  <r>
    <n v="1702432"/>
    <n v="63"/>
    <x v="16"/>
  </r>
  <r>
    <n v="1702433"/>
    <n v="250"/>
    <x v="10"/>
  </r>
  <r>
    <n v="1702434"/>
    <n v="200"/>
    <x v="32"/>
  </r>
  <r>
    <n v="1702435"/>
    <n v="220"/>
    <x v="31"/>
  </r>
  <r>
    <n v="1702436"/>
    <n v="50"/>
    <x v="35"/>
  </r>
  <r>
    <n v="1702437"/>
    <n v="201"/>
    <x v="7"/>
  </r>
  <r>
    <n v="1702438"/>
    <n v="460"/>
    <x v="2"/>
  </r>
  <r>
    <n v="1702439"/>
    <n v="177"/>
    <x v="11"/>
  </r>
  <r>
    <n v="1702440"/>
    <n v="415"/>
    <x v="36"/>
  </r>
  <r>
    <n v="1702441"/>
    <n v="281"/>
    <x v="4"/>
  </r>
  <r>
    <n v="1702442"/>
    <n v="350"/>
    <x v="37"/>
  </r>
  <r>
    <n v="1702443"/>
    <n v="470"/>
    <x v="1"/>
  </r>
  <r>
    <n v="1702444"/>
    <n v="245"/>
    <x v="6"/>
  </r>
  <r>
    <n v="1702445"/>
    <n v="250"/>
    <x v="10"/>
  </r>
  <r>
    <n v="1702446"/>
    <n v="177"/>
    <x v="11"/>
  </r>
  <r>
    <n v="1702447"/>
    <n v="280"/>
    <x v="3"/>
  </r>
  <r>
    <n v="1702448"/>
    <n v="177"/>
    <x v="11"/>
  </r>
  <r>
    <n v="1702449"/>
    <n v="245"/>
    <x v="6"/>
  </r>
  <r>
    <n v="1702450"/>
    <n v="40"/>
    <x v="21"/>
  </r>
  <r>
    <n v="1702451"/>
    <n v="192"/>
    <x v="38"/>
  </r>
  <r>
    <n v="1702452"/>
    <n v="470"/>
    <x v="1"/>
  </r>
  <r>
    <n v="1702453"/>
    <n v="64"/>
    <x v="28"/>
  </r>
  <r>
    <n v="1702454"/>
    <n v="245"/>
    <x v="6"/>
  </r>
  <r>
    <n v="1702455"/>
    <n v="430"/>
    <x v="13"/>
  </r>
  <r>
    <n v="1702456"/>
    <n v="41"/>
    <x v="23"/>
  </r>
  <r>
    <n v="1702457"/>
    <n v="470"/>
    <x v="1"/>
  </r>
  <r>
    <n v="1702458"/>
    <n v="130"/>
    <x v="39"/>
  </r>
  <r>
    <n v="1702459"/>
    <n v="470"/>
    <x v="1"/>
  </r>
  <r>
    <n v="1702460"/>
    <n v="410"/>
    <x v="24"/>
  </r>
  <r>
    <n v="1702461"/>
    <n v="250"/>
    <x v="10"/>
  </r>
  <r>
    <n v="1702462"/>
    <n v="171"/>
    <x v="40"/>
  </r>
  <r>
    <n v="1702463"/>
    <n v="203"/>
    <x v="29"/>
  </r>
  <r>
    <n v="1702464"/>
    <n v="245"/>
    <x v="6"/>
  </r>
  <r>
    <n v="1702465"/>
    <n v="64"/>
    <x v="28"/>
  </r>
  <r>
    <n v="1702466"/>
    <n v="245"/>
    <x v="6"/>
  </r>
  <r>
    <n v="1702467"/>
    <n v="250"/>
    <x v="10"/>
  </r>
  <r>
    <n v="1702468"/>
    <n v="250"/>
    <x v="10"/>
  </r>
  <r>
    <n v="1702469"/>
    <n v="177"/>
    <x v="11"/>
  </r>
  <r>
    <n v="1702470"/>
    <n v="220"/>
    <x v="31"/>
  </r>
  <r>
    <n v="1702471"/>
    <n v="470"/>
    <x v="1"/>
  </r>
  <r>
    <n v="1702472"/>
    <n v="64"/>
    <x v="28"/>
  </r>
  <r>
    <n v="1702473"/>
    <n v="220"/>
    <x v="31"/>
  </r>
  <r>
    <n v="1702474"/>
    <n v="470"/>
    <x v="1"/>
  </r>
  <r>
    <n v="1702475"/>
    <n v="450"/>
    <x v="41"/>
  </r>
  <r>
    <n v="1702476"/>
    <n v="63"/>
    <x v="16"/>
  </r>
  <r>
    <n v="1702477"/>
    <n v="450"/>
    <x v="41"/>
  </r>
  <r>
    <n v="1702478"/>
    <n v="460"/>
    <x v="2"/>
  </r>
  <r>
    <n v="1702479"/>
    <n v="450"/>
    <x v="41"/>
  </r>
  <r>
    <n v="1702480"/>
    <n v="280"/>
    <x v="3"/>
  </r>
  <r>
    <n v="1702481"/>
    <n v="460"/>
    <x v="2"/>
  </r>
  <r>
    <n v="1702482"/>
    <n v="280"/>
    <x v="3"/>
  </r>
  <r>
    <n v="1702483"/>
    <n v="460"/>
    <x v="2"/>
  </r>
  <r>
    <n v="1702484"/>
    <n v="460"/>
    <x v="2"/>
  </r>
  <r>
    <n v="1702485"/>
    <n v="430"/>
    <x v="13"/>
  </r>
  <r>
    <n v="1702486"/>
    <n v="470"/>
    <x v="1"/>
  </r>
  <r>
    <n v="1702487"/>
    <n v="245"/>
    <x v="6"/>
  </r>
  <r>
    <n v="1702488"/>
    <n v="200"/>
    <x v="32"/>
  </r>
  <r>
    <n v="1702489"/>
    <n v="280"/>
    <x v="3"/>
  </r>
  <r>
    <n v="1702490"/>
    <n v="63"/>
    <x v="16"/>
  </r>
  <r>
    <n v="1702491"/>
    <n v="65"/>
    <x v="8"/>
  </r>
  <r>
    <n v="1702492"/>
    <n v="177"/>
    <x v="11"/>
  </r>
  <r>
    <n v="1702493"/>
    <n v="246"/>
    <x v="42"/>
  </r>
  <r>
    <n v="1702494"/>
    <n v="245"/>
    <x v="6"/>
  </r>
  <r>
    <n v="1702495"/>
    <n v="450"/>
    <x v="41"/>
  </r>
  <r>
    <n v="1702496"/>
    <n v="245"/>
    <x v="6"/>
  </r>
  <r>
    <n v="1702497"/>
    <n v="280"/>
    <x v="3"/>
  </r>
  <r>
    <n v="1702498"/>
    <n v="460"/>
    <x v="2"/>
  </r>
  <r>
    <n v="1702499"/>
    <n v="161"/>
    <x v="17"/>
  </r>
  <r>
    <n v="1702500"/>
    <n v="460"/>
    <x v="2"/>
  </r>
  <r>
    <n v="1702501"/>
    <n v="245"/>
    <x v="6"/>
  </r>
  <r>
    <n v="1702502"/>
    <n v="177"/>
    <x v="11"/>
  </r>
  <r>
    <n v="1702503"/>
    <n v="177"/>
    <x v="11"/>
  </r>
  <r>
    <n v="1702504"/>
    <n v="245"/>
    <x v="6"/>
  </r>
  <r>
    <n v="1702505"/>
    <n v="280"/>
    <x v="3"/>
  </r>
  <r>
    <n v="1702506"/>
    <n v="161"/>
    <x v="17"/>
  </r>
  <r>
    <n v="1702507"/>
    <n v="245"/>
    <x v="6"/>
  </r>
  <r>
    <n v="1702508"/>
    <n v="280"/>
    <x v="3"/>
  </r>
  <r>
    <n v="1702509"/>
    <n v="245"/>
    <x v="6"/>
  </r>
  <r>
    <n v="1702510"/>
    <n v="363"/>
    <x v="12"/>
  </r>
  <r>
    <n v="1702511"/>
    <n v="63"/>
    <x v="16"/>
  </r>
  <r>
    <n v="1702513"/>
    <n v="280"/>
    <x v="3"/>
  </r>
  <r>
    <n v="1702514"/>
    <n v="40"/>
    <x v="21"/>
  </r>
  <r>
    <n v="1702515"/>
    <n v="40"/>
    <x v="21"/>
  </r>
  <r>
    <n v="1702516"/>
    <n v="430"/>
    <x v="13"/>
  </r>
  <r>
    <n v="1702517"/>
    <n v="460"/>
    <x v="2"/>
  </r>
  <r>
    <n v="1702518"/>
    <n v="245"/>
    <x v="6"/>
  </r>
  <r>
    <n v="1702519"/>
    <n v="460"/>
    <x v="2"/>
  </r>
  <r>
    <n v="1702520"/>
    <n v="460"/>
    <x v="2"/>
  </r>
  <r>
    <n v="1702521"/>
    <n v="245"/>
    <x v="6"/>
  </r>
  <r>
    <n v="1702522"/>
    <n v="244"/>
    <x v="43"/>
  </r>
  <r>
    <n v="1702523"/>
    <n v="280"/>
    <x v="3"/>
  </r>
  <r>
    <n v="1702524"/>
    <n v="161"/>
    <x v="17"/>
  </r>
  <r>
    <n v="1702525"/>
    <n v="130"/>
    <x v="39"/>
  </r>
  <r>
    <n v="1702526"/>
    <n v="245"/>
    <x v="6"/>
  </r>
  <r>
    <n v="1702527"/>
    <n v="280"/>
    <x v="3"/>
  </r>
  <r>
    <n v="1702528"/>
    <n v="184"/>
    <x v="26"/>
  </r>
  <r>
    <n v="1702530"/>
    <n v="430"/>
    <x v="13"/>
  </r>
  <r>
    <n v="1702531"/>
    <n v="62"/>
    <x v="44"/>
  </r>
  <r>
    <n v="1702532"/>
    <n v="177"/>
    <x v="11"/>
  </r>
  <r>
    <n v="1702533"/>
    <n v="246"/>
    <x v="42"/>
  </r>
  <r>
    <n v="1702534"/>
    <n v="280"/>
    <x v="3"/>
  </r>
  <r>
    <n v="1702535"/>
    <n v="245"/>
    <x v="6"/>
  </r>
  <r>
    <n v="1702536"/>
    <n v="130"/>
    <x v="39"/>
  </r>
  <r>
    <n v="1702537"/>
    <n v="350"/>
    <x v="37"/>
  </r>
  <r>
    <n v="1702538"/>
    <n v="63"/>
    <x v="16"/>
  </r>
  <r>
    <n v="1702539"/>
    <n v="41"/>
    <x v="23"/>
  </r>
  <r>
    <n v="1702540"/>
    <n v="430"/>
    <x v="13"/>
  </r>
  <r>
    <n v="1702541"/>
    <n v="350"/>
    <x v="37"/>
  </r>
  <r>
    <n v="1702542"/>
    <n v="245"/>
    <x v="6"/>
  </r>
  <r>
    <n v="1702544"/>
    <n v="440"/>
    <x v="45"/>
  </r>
  <r>
    <n v="1702545"/>
    <n v="244"/>
    <x v="43"/>
  </r>
  <r>
    <n v="1702546"/>
    <n v="460"/>
    <x v="2"/>
  </r>
  <r>
    <n v="1702547"/>
    <n v="250"/>
    <x v="10"/>
  </r>
  <r>
    <n v="1702549"/>
    <n v="245"/>
    <x v="6"/>
  </r>
  <r>
    <n v="1702550"/>
    <n v="40"/>
    <x v="21"/>
  </r>
  <r>
    <n v="1702551"/>
    <n v="40"/>
    <x v="21"/>
  </r>
  <r>
    <n v="1702552"/>
    <n v="244"/>
    <x v="43"/>
  </r>
  <r>
    <n v="1702553"/>
    <n v="430"/>
    <x v="13"/>
  </r>
  <r>
    <n v="1702554"/>
    <n v="246"/>
    <x v="42"/>
  </r>
  <r>
    <n v="1702556"/>
    <n v="31"/>
    <x v="46"/>
  </r>
  <r>
    <n v="1702557"/>
    <n v="30"/>
    <x v="47"/>
  </r>
  <r>
    <n v="1702558"/>
    <n v="71"/>
    <x v="25"/>
  </r>
  <r>
    <n v="1702559"/>
    <n v="430"/>
    <x v="13"/>
  </r>
  <r>
    <n v="1702560"/>
    <n v="161"/>
    <x v="17"/>
  </r>
  <r>
    <n v="1702561"/>
    <n v="71"/>
    <x v="25"/>
  </r>
  <r>
    <n v="1702562"/>
    <n v="30"/>
    <x v="47"/>
  </r>
  <r>
    <n v="1702563"/>
    <n v="280"/>
    <x v="3"/>
  </r>
  <r>
    <n v="1702564"/>
    <n v="202"/>
    <x v="48"/>
  </r>
  <r>
    <n v="1702565"/>
    <n v="63"/>
    <x v="16"/>
  </r>
  <r>
    <n v="1702566"/>
    <n v="64"/>
    <x v="28"/>
  </r>
  <r>
    <n v="1702568"/>
    <n v="460"/>
    <x v="2"/>
  </r>
  <r>
    <n v="1702569"/>
    <n v="250"/>
    <x v="10"/>
  </r>
  <r>
    <n v="1702570"/>
    <n v="260"/>
    <x v="49"/>
  </r>
  <r>
    <n v="1702571"/>
    <n v="245"/>
    <x v="6"/>
  </r>
  <r>
    <n v="1702572"/>
    <n v="372"/>
    <x v="15"/>
  </r>
  <r>
    <n v="1702573"/>
    <n v="200"/>
    <x v="32"/>
  </r>
  <r>
    <n v="1702574"/>
    <n v="177"/>
    <x v="11"/>
  </r>
  <r>
    <n v="1702575"/>
    <n v="161"/>
    <x v="17"/>
  </r>
  <r>
    <n v="1702576"/>
    <n v="200"/>
    <x v="32"/>
  </r>
  <r>
    <n v="1702577"/>
    <n v="244"/>
    <x v="43"/>
  </r>
  <r>
    <n v="1702578"/>
    <n v="281"/>
    <x v="4"/>
  </r>
  <r>
    <n v="1702579"/>
    <n v="280"/>
    <x v="3"/>
  </r>
  <r>
    <n v="1702580"/>
    <n v="245"/>
    <x v="6"/>
  </r>
  <r>
    <n v="1702581"/>
    <n v="281"/>
    <x v="4"/>
  </r>
  <r>
    <n v="1702583"/>
    <n v="246"/>
    <x v="42"/>
  </r>
  <r>
    <n v="1702584"/>
    <n v="430"/>
    <x v="13"/>
  </r>
  <r>
    <n v="1702585"/>
    <n v="430"/>
    <x v="13"/>
  </r>
  <r>
    <n v="1702586"/>
    <n v="470"/>
    <x v="1"/>
  </r>
  <r>
    <n v="1702587"/>
    <n v="372"/>
    <x v="15"/>
  </r>
  <r>
    <n v="1702588"/>
    <n v="250"/>
    <x v="10"/>
  </r>
  <r>
    <n v="1702589"/>
    <n v="245"/>
    <x v="6"/>
  </r>
  <r>
    <n v="1702590"/>
    <n v="245"/>
    <x v="6"/>
  </r>
  <r>
    <n v="1702591"/>
    <n v="450"/>
    <x v="41"/>
  </r>
  <r>
    <n v="1702592"/>
    <n v="201"/>
    <x v="7"/>
  </r>
  <r>
    <n v="1702593"/>
    <n v="245"/>
    <x v="6"/>
  </r>
  <r>
    <n v="1702594"/>
    <n v="139"/>
    <x v="33"/>
  </r>
  <r>
    <n v="1702595"/>
    <n v="65"/>
    <x v="8"/>
  </r>
  <r>
    <n v="1702596"/>
    <n v="63"/>
    <x v="16"/>
  </r>
  <r>
    <n v="1702597"/>
    <n v="280"/>
    <x v="3"/>
  </r>
  <r>
    <n v="1702598"/>
    <n v="280"/>
    <x v="3"/>
  </r>
  <r>
    <n v="1702599"/>
    <n v="470"/>
    <x v="1"/>
  </r>
  <r>
    <n v="1702600"/>
    <n v="220"/>
    <x v="31"/>
  </r>
  <r>
    <n v="1702601"/>
    <n v="64"/>
    <x v="28"/>
  </r>
  <r>
    <n v="1702602"/>
    <n v="64"/>
    <x v="28"/>
  </r>
  <r>
    <n v="1702603"/>
    <n v="177"/>
    <x v="11"/>
  </r>
  <r>
    <n v="1702604"/>
    <n v="177"/>
    <x v="11"/>
  </r>
  <r>
    <n v="1702605"/>
    <n v="280"/>
    <x v="3"/>
  </r>
  <r>
    <n v="1702606"/>
    <n v="430"/>
    <x v="13"/>
  </r>
  <r>
    <n v="1702607"/>
    <n v="245"/>
    <x v="6"/>
  </r>
  <r>
    <n v="1702608"/>
    <n v="245"/>
    <x v="6"/>
  </r>
  <r>
    <n v="1702609"/>
    <n v="200"/>
    <x v="32"/>
  </r>
  <r>
    <n v="1702610"/>
    <n v="245"/>
    <x v="6"/>
  </r>
  <r>
    <n v="1702611"/>
    <n v="64"/>
    <x v="28"/>
  </r>
  <r>
    <n v="1702612"/>
    <n v="65"/>
    <x v="8"/>
  </r>
  <r>
    <n v="1702613"/>
    <n v="245"/>
    <x v="6"/>
  </r>
  <r>
    <n v="1702614"/>
    <n v="130"/>
    <x v="39"/>
  </r>
  <r>
    <n v="1702615"/>
    <n v="245"/>
    <x v="6"/>
  </r>
  <r>
    <n v="1702617"/>
    <n v="177"/>
    <x v="11"/>
  </r>
  <r>
    <n v="1702618"/>
    <n v="250"/>
    <x v="10"/>
  </r>
  <r>
    <n v="1702619"/>
    <n v="161"/>
    <x v="17"/>
  </r>
  <r>
    <n v="1702620"/>
    <n v="161"/>
    <x v="17"/>
  </r>
  <r>
    <n v="1702621"/>
    <n v="470"/>
    <x v="1"/>
  </r>
  <r>
    <n v="1702622"/>
    <n v="74"/>
    <x v="18"/>
  </r>
  <r>
    <n v="1702623"/>
    <n v="31"/>
    <x v="46"/>
  </r>
  <r>
    <n v="1702624"/>
    <n v="281"/>
    <x v="4"/>
  </r>
  <r>
    <n v="1702625"/>
    <n v="281"/>
    <x v="4"/>
  </r>
  <r>
    <n v="1702626"/>
    <n v="177"/>
    <x v="11"/>
  </r>
  <r>
    <n v="1702627"/>
    <n v="460"/>
    <x v="2"/>
  </r>
  <r>
    <n v="1702628"/>
    <n v="177"/>
    <x v="11"/>
  </r>
  <r>
    <n v="1702629"/>
    <n v="245"/>
    <x v="6"/>
  </r>
  <r>
    <n v="1702630"/>
    <n v="245"/>
    <x v="6"/>
  </r>
  <r>
    <n v="1702631"/>
    <n v="281"/>
    <x v="4"/>
  </r>
  <r>
    <n v="1702632"/>
    <n v="181"/>
    <x v="50"/>
  </r>
  <r>
    <n v="1702633"/>
    <n v="244"/>
    <x v="43"/>
  </r>
  <r>
    <n v="1702634"/>
    <n v="244"/>
    <x v="43"/>
  </r>
  <r>
    <n v="1702635"/>
    <n v="430"/>
    <x v="13"/>
  </r>
  <r>
    <n v="1702636"/>
    <n v="460"/>
    <x v="2"/>
  </r>
  <r>
    <n v="1702637"/>
    <n v="177"/>
    <x v="11"/>
  </r>
  <r>
    <n v="1702638"/>
    <n v="460"/>
    <x v="2"/>
  </r>
  <r>
    <n v="1702639"/>
    <n v="245"/>
    <x v="6"/>
  </r>
  <r>
    <n v="1702640"/>
    <n v="177"/>
    <x v="11"/>
  </r>
  <r>
    <n v="1702641"/>
    <n v="280"/>
    <x v="3"/>
  </r>
  <r>
    <n v="1702642"/>
    <n v="244"/>
    <x v="43"/>
  </r>
  <r>
    <n v="1702643"/>
    <n v="245"/>
    <x v="6"/>
  </r>
  <r>
    <n v="1702644"/>
    <n v="100"/>
    <x v="22"/>
  </r>
  <r>
    <n v="1702645"/>
    <n v="177"/>
    <x v="11"/>
  </r>
  <r>
    <n v="1702646"/>
    <n v="460"/>
    <x v="2"/>
  </r>
  <r>
    <n v="1702647"/>
    <n v="245"/>
    <x v="6"/>
  </r>
  <r>
    <n v="1702648"/>
    <n v="440"/>
    <x v="45"/>
  </r>
  <r>
    <n v="1702649"/>
    <n v="280"/>
    <x v="3"/>
  </r>
  <r>
    <n v="1702650"/>
    <n v="460"/>
    <x v="2"/>
  </r>
  <r>
    <n v="1702651"/>
    <n v="242"/>
    <x v="0"/>
  </r>
  <r>
    <n v="1702652"/>
    <n v="460"/>
    <x v="2"/>
  </r>
  <r>
    <n v="1702653"/>
    <n v="460"/>
    <x v="2"/>
  </r>
  <r>
    <n v="1702654"/>
    <n v="245"/>
    <x v="6"/>
  </r>
  <r>
    <n v="1702655"/>
    <n v="245"/>
    <x v="6"/>
  </r>
  <r>
    <n v="1702656"/>
    <n v="130"/>
    <x v="39"/>
  </r>
  <r>
    <n v="1702657"/>
    <n v="64"/>
    <x v="28"/>
  </r>
  <r>
    <n v="1702658"/>
    <n v="161"/>
    <x v="17"/>
  </r>
  <r>
    <n v="1702659"/>
    <n v="201"/>
    <x v="7"/>
  </r>
  <r>
    <n v="1702660"/>
    <n v="244"/>
    <x v="43"/>
  </r>
  <r>
    <n v="1702661"/>
    <n v="430"/>
    <x v="13"/>
  </r>
  <r>
    <n v="1702662"/>
    <n v="65"/>
    <x v="8"/>
  </r>
  <r>
    <n v="1702663"/>
    <n v="201"/>
    <x v="7"/>
  </r>
  <r>
    <n v="1702664"/>
    <n v="245"/>
    <x v="6"/>
  </r>
  <r>
    <n v="1702665"/>
    <n v="245"/>
    <x v="6"/>
  </r>
  <r>
    <n v="1702666"/>
    <n v="245"/>
    <x v="6"/>
  </r>
  <r>
    <n v="1702667"/>
    <n v="460"/>
    <x v="2"/>
  </r>
  <r>
    <n v="1702668"/>
    <n v="460"/>
    <x v="2"/>
  </r>
  <r>
    <n v="1702669"/>
    <n v="220"/>
    <x v="31"/>
  </r>
  <r>
    <n v="1702670"/>
    <n v="40"/>
    <x v="21"/>
  </r>
  <r>
    <n v="1702671"/>
    <n v="460"/>
    <x v="2"/>
  </r>
  <r>
    <n v="1702672"/>
    <n v="460"/>
    <x v="2"/>
  </r>
  <r>
    <n v="1702673"/>
    <n v="245"/>
    <x v="6"/>
  </r>
  <r>
    <n v="1702674"/>
    <n v="63"/>
    <x v="16"/>
  </r>
  <r>
    <n v="1702675"/>
    <n v="130"/>
    <x v="39"/>
  </r>
  <r>
    <n v="1702676"/>
    <n v="245"/>
    <x v="6"/>
  </r>
  <r>
    <n v="1702677"/>
    <n v="246"/>
    <x v="42"/>
  </r>
  <r>
    <n v="1702678"/>
    <n v="63"/>
    <x v="16"/>
  </r>
  <r>
    <n v="1702679"/>
    <n v="430"/>
    <x v="13"/>
  </r>
  <r>
    <n v="1702680"/>
    <n v="177"/>
    <x v="11"/>
  </r>
  <r>
    <n v="1702681"/>
    <n v="73"/>
    <x v="51"/>
  </r>
  <r>
    <n v="1702682"/>
    <n v="281"/>
    <x v="4"/>
  </r>
  <r>
    <n v="1702684"/>
    <n v="430"/>
    <x v="13"/>
  </r>
  <r>
    <n v="1702685"/>
    <n v="30"/>
    <x v="47"/>
  </r>
  <r>
    <n v="1702686"/>
    <n v="245"/>
    <x v="6"/>
  </r>
  <r>
    <n v="1702687"/>
    <n v="201"/>
    <x v="7"/>
  </r>
  <r>
    <n v="1702688"/>
    <n v="281"/>
    <x v="4"/>
  </r>
  <r>
    <n v="1702689"/>
    <n v="246"/>
    <x v="42"/>
  </r>
  <r>
    <n v="1702690"/>
    <n v="200"/>
    <x v="32"/>
  </r>
  <r>
    <n v="1702691"/>
    <n v="430"/>
    <x v="13"/>
  </r>
  <r>
    <n v="1702692"/>
    <n v="281"/>
    <x v="4"/>
  </r>
  <r>
    <n v="1702693"/>
    <n v="280"/>
    <x v="3"/>
  </r>
  <r>
    <n v="1702694"/>
    <n v="220"/>
    <x v="31"/>
  </r>
  <r>
    <n v="1702695"/>
    <n v="450"/>
    <x v="41"/>
  </r>
  <r>
    <n v="1702696"/>
    <n v="161"/>
    <x v="17"/>
  </r>
  <r>
    <n v="1702697"/>
    <n v="40"/>
    <x v="21"/>
  </r>
  <r>
    <n v="1702698"/>
    <n v="280"/>
    <x v="3"/>
  </r>
  <r>
    <n v="1702699"/>
    <n v="130"/>
    <x v="39"/>
  </r>
  <r>
    <n v="1702700"/>
    <n v="201"/>
    <x v="7"/>
  </r>
  <r>
    <n v="1702701"/>
    <n v="245"/>
    <x v="6"/>
  </r>
  <r>
    <n v="1702702"/>
    <n v="184"/>
    <x v="26"/>
  </r>
  <r>
    <n v="1702703"/>
    <n v="280"/>
    <x v="3"/>
  </r>
  <r>
    <n v="1702704"/>
    <n v="52"/>
    <x v="9"/>
  </r>
  <r>
    <n v="1702705"/>
    <n v="177"/>
    <x v="11"/>
  </r>
  <r>
    <n v="1702706"/>
    <n v="250"/>
    <x v="10"/>
  </r>
  <r>
    <n v="1702707"/>
    <n v="280"/>
    <x v="3"/>
  </r>
  <r>
    <n v="1702708"/>
    <n v="242"/>
    <x v="0"/>
  </r>
  <r>
    <n v="1702709"/>
    <n v="40"/>
    <x v="21"/>
  </r>
  <r>
    <n v="1702710"/>
    <n v="280"/>
    <x v="3"/>
  </r>
  <r>
    <n v="1702712"/>
    <n v="350"/>
    <x v="37"/>
  </r>
  <r>
    <n v="1702713"/>
    <n v="201"/>
    <x v="7"/>
  </r>
  <r>
    <n v="1702714"/>
    <n v="245"/>
    <x v="6"/>
  </r>
  <r>
    <n v="1702715"/>
    <n v="282"/>
    <x v="52"/>
  </r>
  <r>
    <n v="1702716"/>
    <n v="245"/>
    <x v="6"/>
  </r>
  <r>
    <n v="1702717"/>
    <n v="177"/>
    <x v="11"/>
  </r>
  <r>
    <n v="1702718"/>
    <n v="74"/>
    <x v="18"/>
  </r>
  <r>
    <n v="1702719"/>
    <n v="161"/>
    <x v="17"/>
  </r>
  <r>
    <n v="1702720"/>
    <n v="141"/>
    <x v="53"/>
  </r>
  <r>
    <n v="1702721"/>
    <n v="71"/>
    <x v="25"/>
  </r>
  <r>
    <n v="1702722"/>
    <n v="220"/>
    <x v="31"/>
  </r>
  <r>
    <n v="1702723"/>
    <n v="245"/>
    <x v="6"/>
  </r>
  <r>
    <n v="1702724"/>
    <n v="245"/>
    <x v="6"/>
  </r>
  <r>
    <n v="1702725"/>
    <n v="201"/>
    <x v="7"/>
  </r>
  <r>
    <n v="1702726"/>
    <n v="63"/>
    <x v="16"/>
  </r>
  <r>
    <n v="1702727"/>
    <n v="192"/>
    <x v="38"/>
  </r>
  <r>
    <n v="1702728"/>
    <n v="200"/>
    <x v="32"/>
  </r>
  <r>
    <n v="1702729"/>
    <n v="430"/>
    <x v="13"/>
  </r>
  <r>
    <n v="1702731"/>
    <n v="430"/>
    <x v="13"/>
  </r>
  <r>
    <n v="1702732"/>
    <n v="200"/>
    <x v="32"/>
  </r>
  <r>
    <n v="1702733"/>
    <n v="201"/>
    <x v="7"/>
  </r>
  <r>
    <n v="1702734"/>
    <n v="50"/>
    <x v="35"/>
  </r>
  <r>
    <n v="1702735"/>
    <n v="161"/>
    <x v="17"/>
  </r>
  <r>
    <n v="1702736"/>
    <n v="220"/>
    <x v="31"/>
  </r>
  <r>
    <n v="1702737"/>
    <n v="460"/>
    <x v="2"/>
  </r>
  <r>
    <n v="1702738"/>
    <n v="245"/>
    <x v="6"/>
  </r>
  <r>
    <n v="1702739"/>
    <n v="280"/>
    <x v="3"/>
  </r>
  <r>
    <n v="1702740"/>
    <n v="281"/>
    <x v="4"/>
  </r>
  <r>
    <n v="1702741"/>
    <n v="280"/>
    <x v="3"/>
  </r>
  <r>
    <n v="1702742"/>
    <n v="71"/>
    <x v="25"/>
  </r>
  <r>
    <n v="1702743"/>
    <n v="282"/>
    <x v="52"/>
  </r>
  <r>
    <n v="1702744"/>
    <n v="220"/>
    <x v="31"/>
  </r>
  <r>
    <n v="1702745"/>
    <n v="450"/>
    <x v="41"/>
  </r>
  <r>
    <n v="1702746"/>
    <n v="203"/>
    <x v="29"/>
  </r>
  <r>
    <n v="1702747"/>
    <n v="245"/>
    <x v="6"/>
  </r>
  <r>
    <n v="1702748"/>
    <n v="245"/>
    <x v="6"/>
  </r>
  <r>
    <n v="1702749"/>
    <n v="202"/>
    <x v="48"/>
  </r>
  <r>
    <n v="1702750"/>
    <n v="245"/>
    <x v="6"/>
  </r>
  <r>
    <n v="1702751"/>
    <n v="250"/>
    <x v="10"/>
  </r>
  <r>
    <n v="1702752"/>
    <n v="201"/>
    <x v="7"/>
  </r>
  <r>
    <n v="1702753"/>
    <n v="161"/>
    <x v="17"/>
  </r>
  <r>
    <n v="1702754"/>
    <n v="201"/>
    <x v="7"/>
  </r>
  <r>
    <n v="1702755"/>
    <n v="63"/>
    <x v="16"/>
  </r>
  <r>
    <n v="1702756"/>
    <n v="161"/>
    <x v="17"/>
  </r>
  <r>
    <n v="1702757"/>
    <n v="63"/>
    <x v="16"/>
  </r>
  <r>
    <n v="1702758"/>
    <n v="280"/>
    <x v="3"/>
  </r>
  <r>
    <n v="1702759"/>
    <n v="470"/>
    <x v="1"/>
  </r>
  <r>
    <n v="1702760"/>
    <n v="280"/>
    <x v="3"/>
  </r>
  <r>
    <n v="1702761"/>
    <n v="280"/>
    <x v="3"/>
  </r>
  <r>
    <n v="1702762"/>
    <n v="460"/>
    <x v="2"/>
  </r>
  <r>
    <n v="1702763"/>
    <n v="161"/>
    <x v="17"/>
  </r>
  <r>
    <n v="1702764"/>
    <n v="280"/>
    <x v="3"/>
  </r>
  <r>
    <n v="1702765"/>
    <n v="281"/>
    <x v="4"/>
  </r>
  <r>
    <n v="1702766"/>
    <n v="460"/>
    <x v="2"/>
  </r>
  <r>
    <n v="1702767"/>
    <n v="470"/>
    <x v="1"/>
  </r>
  <r>
    <n v="1702768"/>
    <n v="460"/>
    <x v="2"/>
  </r>
  <r>
    <n v="1702769"/>
    <n v="161"/>
    <x v="17"/>
  </r>
  <r>
    <n v="1702770"/>
    <n v="440"/>
    <x v="45"/>
  </r>
  <r>
    <n v="1702771"/>
    <n v="161"/>
    <x v="17"/>
  </r>
  <r>
    <n v="1702772"/>
    <n v="280"/>
    <x v="3"/>
  </r>
  <r>
    <n v="1702773"/>
    <n v="220"/>
    <x v="31"/>
  </r>
  <r>
    <n v="1702774"/>
    <n v="161"/>
    <x v="17"/>
  </r>
  <r>
    <n v="1702775"/>
    <n v="281"/>
    <x v="4"/>
  </r>
  <r>
    <n v="1702776"/>
    <n v="201"/>
    <x v="7"/>
  </r>
  <r>
    <n v="1702777"/>
    <n v="161"/>
    <x v="17"/>
  </r>
  <r>
    <n v="1702778"/>
    <n v="245"/>
    <x v="6"/>
  </r>
  <r>
    <n v="1702779"/>
    <n v="242"/>
    <x v="0"/>
  </r>
  <r>
    <n v="1702780"/>
    <n v="245"/>
    <x v="6"/>
  </r>
  <r>
    <n v="1702781"/>
    <n v="245"/>
    <x v="6"/>
  </r>
  <r>
    <n v="1702782"/>
    <n v="201"/>
    <x v="7"/>
  </r>
  <r>
    <n v="1702783"/>
    <n v="40"/>
    <x v="21"/>
  </r>
  <r>
    <n v="1702784"/>
    <n v="161"/>
    <x v="17"/>
  </r>
  <r>
    <n v="1702785"/>
    <n v="470"/>
    <x v="1"/>
  </r>
  <r>
    <n v="1702786"/>
    <n v="40"/>
    <x v="21"/>
  </r>
  <r>
    <n v="1702787"/>
    <n v="330"/>
    <x v="54"/>
  </r>
  <r>
    <n v="1702788"/>
    <n v="203"/>
    <x v="29"/>
  </r>
  <r>
    <n v="1702789"/>
    <n v="280"/>
    <x v="3"/>
  </r>
  <r>
    <n v="1702790"/>
    <n v="65"/>
    <x v="8"/>
  </r>
  <r>
    <n v="1702791"/>
    <n v="30"/>
    <x v="47"/>
  </r>
  <r>
    <n v="1702792"/>
    <n v="161"/>
    <x v="17"/>
  </r>
  <r>
    <n v="1702793"/>
    <n v="460"/>
    <x v="2"/>
  </r>
  <r>
    <n v="1702794"/>
    <n v="350"/>
    <x v="37"/>
  </r>
  <r>
    <n v="1702795"/>
    <n v="200"/>
    <x v="32"/>
  </r>
  <r>
    <n v="1702796"/>
    <n v="200"/>
    <x v="32"/>
  </r>
  <r>
    <n v="1702797"/>
    <n v="130"/>
    <x v="39"/>
  </r>
  <r>
    <n v="1702798"/>
    <n v="245"/>
    <x v="6"/>
  </r>
  <r>
    <n v="1702799"/>
    <n v="161"/>
    <x v="17"/>
  </r>
  <r>
    <n v="1702800"/>
    <n v="460"/>
    <x v="2"/>
  </r>
  <r>
    <n v="1702801"/>
    <n v="40"/>
    <x v="21"/>
  </r>
  <r>
    <n v="1702802"/>
    <n v="280"/>
    <x v="3"/>
  </r>
  <r>
    <n v="1702803"/>
    <n v="430"/>
    <x v="13"/>
  </r>
  <r>
    <n v="1702804"/>
    <n v="372"/>
    <x v="15"/>
  </r>
  <r>
    <n v="1702805"/>
    <n v="280"/>
    <x v="3"/>
  </r>
  <r>
    <n v="1702806"/>
    <n v="372"/>
    <x v="15"/>
  </r>
  <r>
    <n v="1702807"/>
    <n v="245"/>
    <x v="6"/>
  </r>
  <r>
    <n v="1702808"/>
    <n v="470"/>
    <x v="1"/>
  </r>
  <r>
    <n v="1702809"/>
    <n v="470"/>
    <x v="1"/>
  </r>
  <r>
    <n v="1702810"/>
    <n v="245"/>
    <x v="6"/>
  </r>
  <r>
    <n v="1702811"/>
    <n v="188"/>
    <x v="55"/>
  </r>
  <r>
    <n v="1702812"/>
    <n v="282"/>
    <x v="52"/>
  </r>
  <r>
    <n v="1702813"/>
    <n v="450"/>
    <x v="41"/>
  </r>
  <r>
    <n v="1702814"/>
    <n v="470"/>
    <x v="1"/>
  </r>
  <r>
    <n v="1702815"/>
    <n v="50"/>
    <x v="35"/>
  </r>
  <r>
    <n v="1702816"/>
    <n v="250"/>
    <x v="10"/>
  </r>
  <r>
    <n v="1702817"/>
    <n v="71"/>
    <x v="25"/>
  </r>
  <r>
    <n v="1702818"/>
    <n v="63"/>
    <x v="16"/>
  </r>
  <r>
    <n v="1702819"/>
    <n v="460"/>
    <x v="2"/>
  </r>
  <r>
    <n v="1702820"/>
    <n v="64"/>
    <x v="28"/>
  </r>
  <r>
    <n v="1702821"/>
    <n v="350"/>
    <x v="37"/>
  </r>
  <r>
    <n v="1702822"/>
    <n v="280"/>
    <x v="3"/>
  </r>
  <r>
    <n v="1702823"/>
    <n v="470"/>
    <x v="1"/>
  </r>
  <r>
    <n v="1702824"/>
    <n v="63"/>
    <x v="16"/>
  </r>
  <r>
    <n v="1702825"/>
    <n v="51"/>
    <x v="20"/>
  </r>
  <r>
    <n v="1702826"/>
    <n v="130"/>
    <x v="39"/>
  </r>
  <r>
    <n v="1702827"/>
    <n v="250"/>
    <x v="10"/>
  </r>
  <r>
    <n v="1702828"/>
    <n v="200"/>
    <x v="32"/>
  </r>
  <r>
    <n v="1702829"/>
    <n v="245"/>
    <x v="6"/>
  </r>
  <r>
    <n v="1702830"/>
    <n v="220"/>
    <x v="31"/>
  </r>
  <r>
    <n v="1702831"/>
    <n v="201"/>
    <x v="7"/>
  </r>
  <r>
    <n v="1702832"/>
    <n v="245"/>
    <x v="6"/>
  </r>
  <r>
    <n v="1702833"/>
    <n v="245"/>
    <x v="6"/>
  </r>
  <r>
    <n v="1702834"/>
    <n v="280"/>
    <x v="3"/>
  </r>
  <r>
    <n v="1702835"/>
    <n v="161"/>
    <x v="17"/>
  </r>
  <r>
    <n v="1702836"/>
    <n v="200"/>
    <x v="32"/>
  </r>
  <r>
    <n v="1702837"/>
    <n v="470"/>
    <x v="1"/>
  </r>
  <r>
    <n v="1702838"/>
    <n v="470"/>
    <x v="1"/>
  </r>
  <r>
    <n v="1702839"/>
    <n v="280"/>
    <x v="3"/>
  </r>
  <r>
    <n v="1702840"/>
    <n v="244"/>
    <x v="43"/>
  </r>
  <r>
    <n v="1702841"/>
    <n v="250"/>
    <x v="10"/>
  </r>
  <r>
    <n v="1702842"/>
    <n v="245"/>
    <x v="6"/>
  </r>
  <r>
    <n v="1702843"/>
    <n v="470"/>
    <x v="1"/>
  </r>
  <r>
    <n v="1702844"/>
    <n v="430"/>
    <x v="13"/>
  </r>
  <r>
    <n v="1702845"/>
    <n v="200"/>
    <x v="32"/>
  </r>
  <r>
    <n v="1702846"/>
    <n v="186"/>
    <x v="14"/>
  </r>
  <r>
    <n v="1702847"/>
    <n v="430"/>
    <x v="13"/>
  </r>
  <r>
    <n v="1702848"/>
    <n v="63"/>
    <x v="16"/>
  </r>
  <r>
    <n v="1702849"/>
    <n v="430"/>
    <x v="13"/>
  </r>
  <r>
    <n v="1702850"/>
    <n v="65"/>
    <x v="8"/>
  </r>
  <r>
    <n v="1702851"/>
    <n v="245"/>
    <x v="6"/>
  </r>
  <r>
    <n v="1702852"/>
    <n v="470"/>
    <x v="1"/>
  </r>
  <r>
    <n v="1702853"/>
    <n v="201"/>
    <x v="7"/>
  </r>
  <r>
    <n v="1702854"/>
    <n v="203"/>
    <x v="29"/>
  </r>
  <r>
    <n v="1702855"/>
    <n v="161"/>
    <x v="17"/>
  </r>
  <r>
    <n v="1702856"/>
    <n v="250"/>
    <x v="10"/>
  </r>
  <r>
    <n v="1702857"/>
    <n v="161"/>
    <x v="17"/>
  </r>
  <r>
    <n v="1702858"/>
    <n v="250"/>
    <x v="10"/>
  </r>
  <r>
    <n v="1702859"/>
    <n v="160"/>
    <x v="56"/>
  </r>
  <r>
    <n v="1702860"/>
    <n v="282"/>
    <x v="52"/>
  </r>
  <r>
    <n v="1702861"/>
    <n v="63"/>
    <x v="16"/>
  </r>
  <r>
    <n v="1702862"/>
    <n v="130"/>
    <x v="39"/>
  </r>
  <r>
    <n v="1702863"/>
    <n v="244"/>
    <x v="43"/>
  </r>
  <r>
    <n v="1702864"/>
    <n v="245"/>
    <x v="6"/>
  </r>
  <r>
    <n v="1702865"/>
    <n v="281"/>
    <x v="4"/>
  </r>
  <r>
    <n v="1702866"/>
    <n v="281"/>
    <x v="4"/>
  </r>
  <r>
    <n v="1702867"/>
    <n v="31"/>
    <x v="46"/>
  </r>
  <r>
    <n v="1702868"/>
    <n v="200"/>
    <x v="32"/>
  </r>
  <r>
    <n v="1702869"/>
    <n v="280"/>
    <x v="3"/>
  </r>
  <r>
    <n v="1702870"/>
    <n v="470"/>
    <x v="1"/>
  </r>
  <r>
    <n v="1702871"/>
    <n v="250"/>
    <x v="10"/>
  </r>
  <r>
    <n v="1702872"/>
    <n v="63"/>
    <x v="16"/>
  </r>
  <r>
    <n v="1702873"/>
    <n v="188"/>
    <x v="55"/>
  </r>
  <r>
    <n v="1702874"/>
    <n v="280"/>
    <x v="3"/>
  </r>
  <r>
    <n v="1702875"/>
    <n v="250"/>
    <x v="10"/>
  </r>
  <r>
    <n v="1702876"/>
    <n v="63"/>
    <x v="16"/>
  </r>
  <r>
    <n v="1702877"/>
    <n v="242"/>
    <x v="0"/>
  </r>
  <r>
    <n v="1702878"/>
    <n v="470"/>
    <x v="1"/>
  </r>
  <r>
    <n v="1702879"/>
    <n v="63"/>
    <x v="16"/>
  </r>
  <r>
    <n v="1702880"/>
    <n v="71"/>
    <x v="25"/>
  </r>
  <r>
    <n v="1702881"/>
    <n v="161"/>
    <x v="17"/>
  </r>
  <r>
    <n v="1702882"/>
    <n v="130"/>
    <x v="39"/>
  </r>
  <r>
    <n v="1702883"/>
    <n v="460"/>
    <x v="2"/>
  </r>
  <r>
    <n v="1702884"/>
    <n v="245"/>
    <x v="6"/>
  </r>
  <r>
    <n v="1702885"/>
    <n v="470"/>
    <x v="1"/>
  </r>
  <r>
    <n v="1702886"/>
    <n v="430"/>
    <x v="13"/>
  </r>
  <r>
    <n v="1702887"/>
    <n v="161"/>
    <x v="17"/>
  </r>
  <r>
    <n v="1702888"/>
    <n v="161"/>
    <x v="17"/>
  </r>
  <r>
    <n v="1702889"/>
    <n v="65"/>
    <x v="8"/>
  </r>
  <r>
    <n v="1702890"/>
    <n v="430"/>
    <x v="13"/>
  </r>
  <r>
    <n v="1702891"/>
    <n v="350"/>
    <x v="37"/>
  </r>
  <r>
    <n v="1702892"/>
    <n v="430"/>
    <x v="13"/>
  </r>
  <r>
    <n v="1702893"/>
    <n v="470"/>
    <x v="1"/>
  </r>
  <r>
    <n v="1702894"/>
    <n v="280"/>
    <x v="3"/>
  </r>
  <r>
    <n v="1702895"/>
    <n v="470"/>
    <x v="1"/>
  </r>
  <r>
    <n v="1702896"/>
    <n v="280"/>
    <x v="3"/>
  </r>
  <r>
    <n v="1702897"/>
    <n v="74"/>
    <x v="18"/>
  </r>
  <r>
    <n v="1702898"/>
    <n v="450"/>
    <x v="41"/>
  </r>
  <r>
    <n v="1702899"/>
    <n v="430"/>
    <x v="13"/>
  </r>
  <r>
    <n v="1702900"/>
    <n v="177"/>
    <x v="11"/>
  </r>
  <r>
    <n v="1702901"/>
    <n v="220"/>
    <x v="31"/>
  </r>
  <r>
    <n v="1702902"/>
    <n v="65"/>
    <x v="8"/>
  </r>
  <r>
    <n v="1702903"/>
    <n v="161"/>
    <x v="17"/>
  </r>
  <r>
    <n v="1702904"/>
    <n v="350"/>
    <x v="37"/>
  </r>
  <r>
    <n v="1702905"/>
    <n v="465"/>
    <x v="57"/>
  </r>
  <r>
    <n v="1702906"/>
    <n v="63"/>
    <x v="16"/>
  </r>
  <r>
    <n v="1702907"/>
    <n v="51"/>
    <x v="20"/>
  </r>
  <r>
    <n v="1702908"/>
    <n v="280"/>
    <x v="3"/>
  </r>
  <r>
    <n v="1702909"/>
    <n v="245"/>
    <x v="6"/>
  </r>
  <r>
    <n v="1702910"/>
    <n v="201"/>
    <x v="7"/>
  </r>
  <r>
    <n v="1702911"/>
    <n v="130"/>
    <x v="39"/>
  </r>
  <r>
    <n v="1702912"/>
    <n v="177"/>
    <x v="11"/>
  </r>
  <r>
    <n v="1702913"/>
    <n v="430"/>
    <x v="13"/>
  </r>
  <r>
    <n v="1702914"/>
    <n v="245"/>
    <x v="6"/>
  </r>
  <r>
    <n v="1702915"/>
    <n v="450"/>
    <x v="41"/>
  </r>
  <r>
    <n v="1702916"/>
    <n v="250"/>
    <x v="10"/>
  </r>
  <r>
    <n v="1702917"/>
    <n v="470"/>
    <x v="1"/>
  </r>
  <r>
    <n v="1702918"/>
    <n v="470"/>
    <x v="1"/>
  </r>
  <r>
    <n v="1702919"/>
    <n v="40"/>
    <x v="21"/>
  </r>
  <r>
    <n v="1702920"/>
    <n v="176"/>
    <x v="5"/>
  </r>
  <r>
    <n v="1702921"/>
    <n v="220"/>
    <x v="31"/>
  </r>
  <r>
    <n v="1702922"/>
    <n v="177"/>
    <x v="11"/>
  </r>
  <r>
    <n v="1702923"/>
    <n v="465"/>
    <x v="57"/>
  </r>
  <r>
    <n v="1702924"/>
    <n v="281"/>
    <x v="4"/>
  </r>
  <r>
    <n v="1702925"/>
    <n v="244"/>
    <x v="43"/>
  </r>
  <r>
    <n v="1702926"/>
    <n v="371"/>
    <x v="58"/>
  </r>
  <r>
    <n v="1702927"/>
    <n v="470"/>
    <x v="1"/>
  </r>
  <r>
    <n v="1702928"/>
    <n v="220"/>
    <x v="31"/>
  </r>
  <r>
    <n v="1702929"/>
    <n v="430"/>
    <x v="13"/>
  </r>
  <r>
    <n v="1702930"/>
    <n v="100"/>
    <x v="22"/>
  </r>
  <r>
    <n v="1702931"/>
    <n v="177"/>
    <x v="11"/>
  </r>
  <r>
    <n v="1702932"/>
    <n v="170"/>
    <x v="59"/>
  </r>
  <r>
    <n v="1702933"/>
    <n v="244"/>
    <x v="43"/>
  </r>
  <r>
    <n v="1702934"/>
    <n v="245"/>
    <x v="6"/>
  </r>
  <r>
    <n v="1702935"/>
    <n v="280"/>
    <x v="3"/>
  </r>
  <r>
    <n v="1702936"/>
    <n v="430"/>
    <x v="13"/>
  </r>
  <r>
    <n v="1702937"/>
    <n v="372"/>
    <x v="15"/>
  </r>
  <r>
    <n v="1702938"/>
    <n v="63"/>
    <x v="16"/>
  </r>
  <r>
    <n v="1702939"/>
    <n v="64"/>
    <x v="28"/>
  </r>
  <r>
    <n v="1702940"/>
    <n v="188"/>
    <x v="55"/>
  </r>
  <r>
    <n v="1702941"/>
    <n v="415"/>
    <x v="36"/>
  </r>
  <r>
    <n v="1702942"/>
    <n v="40"/>
    <x v="21"/>
  </r>
  <r>
    <n v="1702943"/>
    <n v="280"/>
    <x v="3"/>
  </r>
  <r>
    <n v="1702944"/>
    <n v="282"/>
    <x v="52"/>
  </r>
  <r>
    <n v="1702945"/>
    <n v="53"/>
    <x v="27"/>
  </r>
  <r>
    <n v="1702946"/>
    <n v="220"/>
    <x v="31"/>
  </r>
  <r>
    <n v="1702947"/>
    <n v="430"/>
    <x v="13"/>
  </r>
  <r>
    <n v="1702948"/>
    <n v="65"/>
    <x v="8"/>
  </r>
  <r>
    <n v="1702949"/>
    <n v="280"/>
    <x v="3"/>
  </r>
  <r>
    <n v="1702950"/>
    <n v="71"/>
    <x v="25"/>
  </r>
  <r>
    <n v="1702951"/>
    <n v="63"/>
    <x v="16"/>
  </r>
  <r>
    <n v="1702952"/>
    <n v="242"/>
    <x v="0"/>
  </r>
  <r>
    <n v="1702953"/>
    <n v="410"/>
    <x v="24"/>
  </r>
  <r>
    <n v="1702954"/>
    <n v="250"/>
    <x v="10"/>
  </r>
  <r>
    <n v="1702955"/>
    <n v="280"/>
    <x v="3"/>
  </r>
  <r>
    <n v="1702956"/>
    <n v="330"/>
    <x v="54"/>
  </r>
  <r>
    <n v="1702957"/>
    <n v="64"/>
    <x v="28"/>
  </r>
  <r>
    <n v="1702958"/>
    <n v="410"/>
    <x v="24"/>
  </r>
  <r>
    <n v="1702959"/>
    <n v="245"/>
    <x v="6"/>
  </r>
  <r>
    <n v="1702960"/>
    <n v="243"/>
    <x v="60"/>
  </r>
  <r>
    <n v="1702961"/>
    <n v="176"/>
    <x v="5"/>
  </r>
  <r>
    <n v="1702962"/>
    <n v="63"/>
    <x v="16"/>
  </r>
  <r>
    <n v="1702963"/>
    <n v="63"/>
    <x v="16"/>
  </r>
  <r>
    <n v="1702964"/>
    <n v="245"/>
    <x v="6"/>
  </r>
  <r>
    <n v="1702965"/>
    <n v="280"/>
    <x v="3"/>
  </r>
  <r>
    <n v="1702966"/>
    <n v="280"/>
    <x v="3"/>
  </r>
  <r>
    <n v="1702967"/>
    <n v="280"/>
    <x v="3"/>
  </r>
  <r>
    <n v="1702968"/>
    <n v="101"/>
    <x v="61"/>
  </r>
  <r>
    <n v="1702970"/>
    <n v="65"/>
    <x v="8"/>
  </r>
  <r>
    <n v="1702971"/>
    <n v="63"/>
    <x v="16"/>
  </r>
  <r>
    <n v="1702972"/>
    <n v="350"/>
    <x v="37"/>
  </r>
  <r>
    <n v="1702973"/>
    <n v="245"/>
    <x v="6"/>
  </r>
  <r>
    <n v="1702974"/>
    <n v="161"/>
    <x v="17"/>
  </r>
  <r>
    <n v="1702975"/>
    <n v="40"/>
    <x v="21"/>
  </r>
  <r>
    <n v="1702976"/>
    <n v="63"/>
    <x v="16"/>
  </r>
  <r>
    <n v="1702977"/>
    <n v="184"/>
    <x v="26"/>
  </r>
  <r>
    <n v="1702978"/>
    <n v="245"/>
    <x v="6"/>
  </r>
  <r>
    <n v="1702979"/>
    <n v="161"/>
    <x v="17"/>
  </r>
  <r>
    <n v="1702980"/>
    <n v="350"/>
    <x v="37"/>
  </r>
  <r>
    <n v="1702981"/>
    <n v="470"/>
    <x v="1"/>
  </r>
  <r>
    <n v="1702982"/>
    <n v="280"/>
    <x v="3"/>
  </r>
  <r>
    <n v="1702983"/>
    <n v="177"/>
    <x v="11"/>
  </r>
  <r>
    <n v="1702984"/>
    <n v="460"/>
    <x v="2"/>
  </r>
  <r>
    <n v="1702985"/>
    <n v="430"/>
    <x v="13"/>
  </r>
  <r>
    <n v="1702986"/>
    <n v="372"/>
    <x v="15"/>
  </r>
  <r>
    <n v="1702987"/>
    <n v="63"/>
    <x v="16"/>
  </r>
  <r>
    <n v="1702988"/>
    <n v="161"/>
    <x v="17"/>
  </r>
  <r>
    <n v="1702989"/>
    <n v="63"/>
    <x v="16"/>
  </r>
  <r>
    <n v="1702990"/>
    <n v="161"/>
    <x v="17"/>
  </r>
  <r>
    <n v="1702991"/>
    <n v="177"/>
    <x v="11"/>
  </r>
  <r>
    <n v="1702992"/>
    <n v="280"/>
    <x v="3"/>
  </r>
  <r>
    <n v="1702993"/>
    <n v="281"/>
    <x v="4"/>
  </r>
  <r>
    <n v="1702994"/>
    <n v="52"/>
    <x v="9"/>
  </r>
  <r>
    <n v="1702995"/>
    <n v="63"/>
    <x v="16"/>
  </r>
  <r>
    <n v="1702996"/>
    <n v="63"/>
    <x v="16"/>
  </r>
  <r>
    <n v="1702997"/>
    <n v="65"/>
    <x v="8"/>
  </r>
  <r>
    <n v="1702998"/>
    <n v="250"/>
    <x v="10"/>
  </r>
  <r>
    <n v="1703001"/>
    <n v="177"/>
    <x v="11"/>
  </r>
  <r>
    <n v="1703002"/>
    <n v="280"/>
    <x v="3"/>
  </r>
  <r>
    <n v="1703003"/>
    <n v="50"/>
    <x v="35"/>
  </r>
  <r>
    <n v="1703004"/>
    <n v="242"/>
    <x v="0"/>
  </r>
  <r>
    <n v="1703005"/>
    <n v="372"/>
    <x v="15"/>
  </r>
  <r>
    <n v="1703006"/>
    <n v="63"/>
    <x v="16"/>
  </r>
  <r>
    <n v="1703007"/>
    <n v="330"/>
    <x v="54"/>
  </r>
  <r>
    <n v="1703008"/>
    <n v="141"/>
    <x v="53"/>
  </r>
  <r>
    <n v="1703009"/>
    <n v="245"/>
    <x v="6"/>
  </r>
  <r>
    <n v="1703010"/>
    <n v="280"/>
    <x v="3"/>
  </r>
  <r>
    <n v="1703011"/>
    <n v="281"/>
    <x v="4"/>
  </r>
  <r>
    <n v="1703012"/>
    <n v="282"/>
    <x v="52"/>
  </r>
  <r>
    <n v="1703013"/>
    <n v="177"/>
    <x v="11"/>
  </r>
  <r>
    <n v="1703014"/>
    <n v="430"/>
    <x v="13"/>
  </r>
  <r>
    <n v="1703015"/>
    <n v="250"/>
    <x v="10"/>
  </r>
  <r>
    <n v="1703016"/>
    <n v="220"/>
    <x v="31"/>
  </r>
  <r>
    <n v="1703017"/>
    <n v="177"/>
    <x v="11"/>
  </r>
  <r>
    <n v="1703018"/>
    <n v="63"/>
    <x v="16"/>
  </r>
  <r>
    <n v="1703019"/>
    <n v="430"/>
    <x v="13"/>
  </r>
  <r>
    <n v="1703020"/>
    <n v="63"/>
    <x v="16"/>
  </r>
  <r>
    <n v="1703021"/>
    <n v="221"/>
    <x v="62"/>
  </r>
  <r>
    <n v="1703022"/>
    <n v="470"/>
    <x v="1"/>
  </r>
  <r>
    <n v="1703023"/>
    <n v="281"/>
    <x v="4"/>
  </r>
  <r>
    <n v="1703024"/>
    <n v="242"/>
    <x v="0"/>
  </r>
  <r>
    <n v="1703025"/>
    <n v="71"/>
    <x v="25"/>
  </r>
  <r>
    <n v="1703026"/>
    <n v="280"/>
    <x v="3"/>
  </r>
  <r>
    <n v="1703027"/>
    <n v="50"/>
    <x v="35"/>
  </r>
  <r>
    <n v="1703028"/>
    <n v="63"/>
    <x v="16"/>
  </r>
  <r>
    <n v="1703029"/>
    <n v="63"/>
    <x v="16"/>
  </r>
  <r>
    <n v="1703030"/>
    <n v="50"/>
    <x v="35"/>
  </r>
  <r>
    <n v="1703031"/>
    <n v="282"/>
    <x v="52"/>
  </r>
  <r>
    <n v="1703032"/>
    <n v="74"/>
    <x v="18"/>
  </r>
  <r>
    <n v="1703034"/>
    <n v="470"/>
    <x v="1"/>
  </r>
  <r>
    <n v="1703035"/>
    <n v="40"/>
    <x v="21"/>
  </r>
  <r>
    <n v="1703036"/>
    <n v="73"/>
    <x v="51"/>
  </r>
  <r>
    <n v="1703037"/>
    <n v="280"/>
    <x v="3"/>
  </r>
  <r>
    <n v="1703038"/>
    <n v="63"/>
    <x v="16"/>
  </r>
  <r>
    <n v="1703039"/>
    <n v="161"/>
    <x v="17"/>
  </r>
  <r>
    <n v="1703040"/>
    <n v="372"/>
    <x v="15"/>
  </r>
  <r>
    <n v="1703041"/>
    <n v="460"/>
    <x v="2"/>
  </r>
  <r>
    <n v="1703042"/>
    <n v="280"/>
    <x v="3"/>
  </r>
  <r>
    <n v="1703043"/>
    <n v="430"/>
    <x v="13"/>
  </r>
  <r>
    <n v="1703044"/>
    <n v="161"/>
    <x v="17"/>
  </r>
  <r>
    <n v="1703045"/>
    <n v="430"/>
    <x v="13"/>
  </r>
  <r>
    <n v="1703046"/>
    <n v="450"/>
    <x v="41"/>
  </r>
  <r>
    <n v="1703047"/>
    <n v="460"/>
    <x v="2"/>
  </r>
  <r>
    <n v="1703048"/>
    <n v="430"/>
    <x v="13"/>
  </r>
  <r>
    <n v="1703049"/>
    <n v="64"/>
    <x v="28"/>
  </r>
  <r>
    <n v="1703050"/>
    <n v="63"/>
    <x v="16"/>
  </r>
  <r>
    <n v="1703051"/>
    <n v="65"/>
    <x v="8"/>
  </r>
  <r>
    <n v="1703052"/>
    <n v="245"/>
    <x v="6"/>
  </r>
  <r>
    <n v="1703053"/>
    <n v="250"/>
    <x v="10"/>
  </r>
  <r>
    <n v="1703054"/>
    <n v="200"/>
    <x v="32"/>
  </r>
  <r>
    <n v="1703055"/>
    <n v="203"/>
    <x v="29"/>
  </r>
  <r>
    <n v="1703056"/>
    <n v="64"/>
    <x v="28"/>
  </r>
  <r>
    <n v="1703057"/>
    <n v="244"/>
    <x v="43"/>
  </r>
  <r>
    <n v="1703058"/>
    <n v="470"/>
    <x v="1"/>
  </r>
  <r>
    <n v="1703059"/>
    <n v="280"/>
    <x v="3"/>
  </r>
  <r>
    <n v="1703060"/>
    <n v="245"/>
    <x v="6"/>
  </r>
  <r>
    <n v="1703061"/>
    <n v="161"/>
    <x v="17"/>
  </r>
  <r>
    <n v="1703062"/>
    <n v="415"/>
    <x v="36"/>
  </r>
  <r>
    <n v="1703063"/>
    <n v="40"/>
    <x v="21"/>
  </r>
  <r>
    <n v="1703064"/>
    <n v="470"/>
    <x v="1"/>
  </r>
  <r>
    <n v="1703065"/>
    <n v="177"/>
    <x v="11"/>
  </r>
  <r>
    <n v="1703066"/>
    <n v="280"/>
    <x v="3"/>
  </r>
  <r>
    <n v="1703067"/>
    <n v="245"/>
    <x v="6"/>
  </r>
  <r>
    <n v="1703068"/>
    <n v="63"/>
    <x v="16"/>
  </r>
  <r>
    <n v="1703069"/>
    <n v="280"/>
    <x v="3"/>
  </r>
  <r>
    <n v="1703070"/>
    <n v="65"/>
    <x v="8"/>
  </r>
  <r>
    <n v="1703071"/>
    <n v="177"/>
    <x v="11"/>
  </r>
  <r>
    <n v="1703072"/>
    <n v="242"/>
    <x v="0"/>
  </r>
  <r>
    <n v="1703073"/>
    <n v="200"/>
    <x v="32"/>
  </r>
  <r>
    <n v="1703074"/>
    <n v="250"/>
    <x v="10"/>
  </r>
  <r>
    <n v="1703075"/>
    <n v="161"/>
    <x v="17"/>
  </r>
  <r>
    <n v="1703076"/>
    <n v="281"/>
    <x v="4"/>
  </r>
  <r>
    <n v="1703077"/>
    <n v="430"/>
    <x v="13"/>
  </r>
  <r>
    <n v="1703078"/>
    <n v="161"/>
    <x v="17"/>
  </r>
  <r>
    <n v="1703080"/>
    <n v="177"/>
    <x v="11"/>
  </r>
  <r>
    <n v="1703081"/>
    <n v="460"/>
    <x v="2"/>
  </r>
  <r>
    <n v="1703082"/>
    <n v="280"/>
    <x v="3"/>
  </r>
  <r>
    <n v="1703083"/>
    <n v="245"/>
    <x v="6"/>
  </r>
  <r>
    <n v="1703085"/>
    <n v="460"/>
    <x v="2"/>
  </r>
  <r>
    <n v="1703086"/>
    <n v="280"/>
    <x v="3"/>
  </r>
  <r>
    <n v="1703087"/>
    <n v="281"/>
    <x v="4"/>
  </r>
  <r>
    <n v="1703088"/>
    <n v="460"/>
    <x v="2"/>
  </r>
  <r>
    <n v="1703089"/>
    <n v="470"/>
    <x v="1"/>
  </r>
  <r>
    <n v="1703090"/>
    <n v="470"/>
    <x v="1"/>
  </r>
  <r>
    <n v="1703091"/>
    <n v="177"/>
    <x v="11"/>
  </r>
  <r>
    <n v="1703092"/>
    <n v="460"/>
    <x v="2"/>
  </r>
  <r>
    <n v="1703093"/>
    <n v="450"/>
    <x v="41"/>
  </r>
  <r>
    <n v="1703094"/>
    <n v="245"/>
    <x v="6"/>
  </r>
  <r>
    <n v="1703095"/>
    <n v="460"/>
    <x v="2"/>
  </r>
  <r>
    <n v="1703096"/>
    <n v="330"/>
    <x v="54"/>
  </r>
  <r>
    <n v="1703097"/>
    <n v="372"/>
    <x v="15"/>
  </r>
  <r>
    <n v="1703098"/>
    <n v="220"/>
    <x v="31"/>
  </r>
  <r>
    <n v="1703099"/>
    <n v="63"/>
    <x v="16"/>
  </r>
  <r>
    <n v="1703100"/>
    <n v="177"/>
    <x v="11"/>
  </r>
  <r>
    <n v="1703101"/>
    <n v="245"/>
    <x v="6"/>
  </r>
  <r>
    <n v="1703102"/>
    <n v="470"/>
    <x v="1"/>
  </r>
  <r>
    <n v="1703103"/>
    <n v="280"/>
    <x v="3"/>
  </r>
  <r>
    <n v="1703104"/>
    <n v="350"/>
    <x v="37"/>
  </r>
  <r>
    <n v="1703105"/>
    <n v="220"/>
    <x v="31"/>
  </r>
  <r>
    <n v="1703106"/>
    <n v="470"/>
    <x v="1"/>
  </r>
  <r>
    <n v="1703107"/>
    <n v="244"/>
    <x v="43"/>
  </r>
  <r>
    <n v="1703108"/>
    <n v="280"/>
    <x v="3"/>
  </r>
  <r>
    <n v="1703109"/>
    <n v="63"/>
    <x v="16"/>
  </r>
  <r>
    <n v="1703110"/>
    <n v="64"/>
    <x v="28"/>
  </r>
  <r>
    <n v="1703111"/>
    <n v="71"/>
    <x v="25"/>
  </r>
  <r>
    <n v="1703112"/>
    <n v="52"/>
    <x v="9"/>
  </r>
  <r>
    <n v="1703113"/>
    <n v="460"/>
    <x v="2"/>
  </r>
  <r>
    <n v="1703114"/>
    <n v="40"/>
    <x v="21"/>
  </r>
  <r>
    <n v="1703115"/>
    <n v="203"/>
    <x v="29"/>
  </r>
  <r>
    <n v="1703116"/>
    <n v="460"/>
    <x v="2"/>
  </r>
  <r>
    <n v="1703117"/>
    <n v="177"/>
    <x v="11"/>
  </r>
  <r>
    <n v="1703118"/>
    <n v="177"/>
    <x v="11"/>
  </r>
  <r>
    <n v="1703119"/>
    <n v="176"/>
    <x v="5"/>
  </r>
  <r>
    <n v="1703120"/>
    <n v="245"/>
    <x v="6"/>
  </r>
  <r>
    <n v="1703121"/>
    <n v="160"/>
    <x v="56"/>
  </r>
  <r>
    <n v="1703122"/>
    <n v="161"/>
    <x v="17"/>
  </r>
  <r>
    <n v="1703123"/>
    <n v="280"/>
    <x v="3"/>
  </r>
  <r>
    <n v="1703124"/>
    <n v="161"/>
    <x v="17"/>
  </r>
  <r>
    <n v="1703125"/>
    <n v="71"/>
    <x v="25"/>
  </r>
  <r>
    <n v="1703126"/>
    <n v="430"/>
    <x v="13"/>
  </r>
  <r>
    <n v="1703127"/>
    <n v="177"/>
    <x v="11"/>
  </r>
  <r>
    <n v="1703128"/>
    <n v="177"/>
    <x v="11"/>
  </r>
  <r>
    <n v="1703129"/>
    <n v="245"/>
    <x v="6"/>
  </r>
  <r>
    <n v="1703130"/>
    <n v="200"/>
    <x v="32"/>
  </r>
  <r>
    <n v="1703131"/>
    <n v="200"/>
    <x v="32"/>
  </r>
  <r>
    <n v="1703132"/>
    <n v="200"/>
    <x v="32"/>
  </r>
  <r>
    <n v="1703133"/>
    <n v="281"/>
    <x v="4"/>
  </r>
  <r>
    <n v="1703134"/>
    <n v="281"/>
    <x v="4"/>
  </r>
  <r>
    <n v="1703135"/>
    <n v="282"/>
    <x v="52"/>
  </r>
  <r>
    <n v="1703136"/>
    <n v="430"/>
    <x v="13"/>
  </r>
  <r>
    <n v="1703137"/>
    <n v="460"/>
    <x v="2"/>
  </r>
  <r>
    <n v="1703138"/>
    <n v="280"/>
    <x v="3"/>
  </r>
  <r>
    <n v="1703139"/>
    <n v="245"/>
    <x v="6"/>
  </r>
  <r>
    <n v="1703140"/>
    <n v="281"/>
    <x v="4"/>
  </r>
  <r>
    <n v="1703141"/>
    <n v="62"/>
    <x v="44"/>
  </r>
  <r>
    <n v="1703142"/>
    <n v="450"/>
    <x v="41"/>
  </r>
  <r>
    <n v="1703143"/>
    <n v="280"/>
    <x v="3"/>
  </r>
  <r>
    <n v="1703144"/>
    <n v="450"/>
    <x v="41"/>
  </r>
  <r>
    <n v="1703145"/>
    <n v="281"/>
    <x v="4"/>
  </r>
  <r>
    <n v="1703146"/>
    <n v="245"/>
    <x v="6"/>
  </r>
  <r>
    <n v="1703147"/>
    <n v="280"/>
    <x v="3"/>
  </r>
  <r>
    <n v="1703148"/>
    <n v="280"/>
    <x v="3"/>
  </r>
  <r>
    <n v="1703149"/>
    <n v="280"/>
    <x v="3"/>
  </r>
  <r>
    <n v="1703150"/>
    <n v="244"/>
    <x v="43"/>
  </r>
  <r>
    <n v="1703151"/>
    <n v="161"/>
    <x v="17"/>
  </r>
  <r>
    <n v="1703152"/>
    <n v="161"/>
    <x v="17"/>
  </r>
  <r>
    <n v="1703153"/>
    <n v="65"/>
    <x v="8"/>
  </r>
  <r>
    <n v="1703154"/>
    <n v="52"/>
    <x v="9"/>
  </r>
  <r>
    <n v="1703155"/>
    <n v="282"/>
    <x v="52"/>
  </r>
  <r>
    <n v="1703156"/>
    <n v="177"/>
    <x v="11"/>
  </r>
  <r>
    <n v="1703157"/>
    <n v="244"/>
    <x v="43"/>
  </r>
  <r>
    <n v="1703158"/>
    <n v="177"/>
    <x v="11"/>
  </r>
  <r>
    <n v="1703159"/>
    <n v="430"/>
    <x v="13"/>
  </r>
  <r>
    <n v="1703160"/>
    <n v="430"/>
    <x v="13"/>
  </r>
  <r>
    <n v="1703161"/>
    <n v="244"/>
    <x v="43"/>
  </r>
  <r>
    <n v="1703162"/>
    <n v="450"/>
    <x v="41"/>
  </r>
  <r>
    <n v="1703163"/>
    <n v="245"/>
    <x v="6"/>
  </r>
  <r>
    <n v="1703164"/>
    <n v="250"/>
    <x v="10"/>
  </r>
  <r>
    <n v="1703165"/>
    <n v="280"/>
    <x v="3"/>
  </r>
  <r>
    <n v="1703166"/>
    <n v="63"/>
    <x v="16"/>
  </r>
  <r>
    <n v="1703167"/>
    <n v="280"/>
    <x v="3"/>
  </r>
  <r>
    <n v="1703168"/>
    <n v="177"/>
    <x v="11"/>
  </r>
  <r>
    <n v="1703169"/>
    <n v="281"/>
    <x v="4"/>
  </r>
  <r>
    <n v="1703170"/>
    <n v="250"/>
    <x v="10"/>
  </r>
  <r>
    <n v="1703171"/>
    <n v="245"/>
    <x v="6"/>
  </r>
  <r>
    <n v="1703172"/>
    <n v="64"/>
    <x v="28"/>
  </r>
  <r>
    <n v="1703173"/>
    <n v="191"/>
    <x v="63"/>
  </r>
  <r>
    <n v="1703174"/>
    <n v="280"/>
    <x v="3"/>
  </r>
  <r>
    <n v="1703175"/>
    <n v="281"/>
    <x v="4"/>
  </r>
  <r>
    <n v="1703176"/>
    <n v="50"/>
    <x v="35"/>
  </r>
  <r>
    <n v="1703177"/>
    <n v="245"/>
    <x v="6"/>
  </r>
  <r>
    <n v="1703178"/>
    <n v="470"/>
    <x v="1"/>
  </r>
  <r>
    <n v="1703179"/>
    <n v="250"/>
    <x v="10"/>
  </r>
  <r>
    <n v="1703180"/>
    <n v="460"/>
    <x v="2"/>
  </r>
  <r>
    <n v="1703181"/>
    <n v="242"/>
    <x v="0"/>
  </r>
  <r>
    <n v="1703182"/>
    <n v="177"/>
    <x v="11"/>
  </r>
  <r>
    <n v="1703183"/>
    <n v="460"/>
    <x v="2"/>
  </r>
  <r>
    <n v="1703184"/>
    <n v="450"/>
    <x v="41"/>
  </r>
  <r>
    <n v="1703185"/>
    <n v="245"/>
    <x v="6"/>
  </r>
  <r>
    <n v="1703186"/>
    <n v="63"/>
    <x v="16"/>
  </r>
  <r>
    <n v="1703187"/>
    <n v="245"/>
    <x v="6"/>
  </r>
  <r>
    <n v="1703188"/>
    <n v="40"/>
    <x v="21"/>
  </r>
  <r>
    <n v="1703189"/>
    <n v="65"/>
    <x v="8"/>
  </r>
  <r>
    <n v="1703190"/>
    <n v="177"/>
    <x v="11"/>
  </r>
  <r>
    <n v="1703191"/>
    <n v="280"/>
    <x v="3"/>
  </r>
  <r>
    <n v="1703192"/>
    <n v="245"/>
    <x v="6"/>
  </r>
  <r>
    <n v="1703193"/>
    <n v="200"/>
    <x v="32"/>
  </r>
  <r>
    <n v="1703194"/>
    <n v="460"/>
    <x v="2"/>
  </r>
  <r>
    <n v="1703195"/>
    <n v="177"/>
    <x v="11"/>
  </r>
  <r>
    <n v="1703196"/>
    <n v="245"/>
    <x v="6"/>
  </r>
  <r>
    <n v="1703197"/>
    <n v="245"/>
    <x v="6"/>
  </r>
  <r>
    <n v="1703198"/>
    <n v="350"/>
    <x v="37"/>
  </r>
  <r>
    <n v="1703199"/>
    <n v="161"/>
    <x v="17"/>
  </r>
  <r>
    <n v="1703200"/>
    <n v="280"/>
    <x v="3"/>
  </r>
  <r>
    <n v="1703201"/>
    <n v="250"/>
    <x v="10"/>
  </r>
  <r>
    <n v="1703202"/>
    <n v="261"/>
    <x v="34"/>
  </r>
  <r>
    <n v="1703203"/>
    <n v="280"/>
    <x v="3"/>
  </r>
  <r>
    <n v="1703204"/>
    <n v="183"/>
    <x v="64"/>
  </r>
  <r>
    <n v="1703205"/>
    <n v="71"/>
    <x v="25"/>
  </r>
  <r>
    <n v="1703206"/>
    <n v="53"/>
    <x v="27"/>
  </r>
  <r>
    <n v="1703207"/>
    <n v="261"/>
    <x v="34"/>
  </r>
  <r>
    <n v="1703209"/>
    <n v="244"/>
    <x v="43"/>
  </r>
  <r>
    <n v="1703210"/>
    <n v="280"/>
    <x v="3"/>
  </r>
  <r>
    <n v="1703211"/>
    <n v="200"/>
    <x v="32"/>
  </r>
  <r>
    <n v="1703212"/>
    <n v="161"/>
    <x v="17"/>
  </r>
  <r>
    <n v="1703213"/>
    <n v="460"/>
    <x v="2"/>
  </r>
  <r>
    <n v="1703214"/>
    <n v="184"/>
    <x v="26"/>
  </r>
  <r>
    <n v="1703215"/>
    <n v="430"/>
    <x v="13"/>
  </r>
  <r>
    <n v="1703216"/>
    <n v="184"/>
    <x v="26"/>
  </r>
  <r>
    <n v="1703217"/>
    <n v="245"/>
    <x v="6"/>
  </r>
  <r>
    <n v="1703218"/>
    <n v="40"/>
    <x v="21"/>
  </r>
  <r>
    <n v="1703219"/>
    <n v="460"/>
    <x v="2"/>
  </r>
  <r>
    <n v="1703220"/>
    <n v="220"/>
    <x v="31"/>
  </r>
  <r>
    <n v="1703221"/>
    <n v="40"/>
    <x v="21"/>
  </r>
  <r>
    <n v="1703222"/>
    <n v="280"/>
    <x v="3"/>
  </r>
  <r>
    <n v="1703223"/>
    <n v="280"/>
    <x v="3"/>
  </r>
  <r>
    <n v="1703224"/>
    <n v="245"/>
    <x v="6"/>
  </r>
  <r>
    <n v="1703225"/>
    <n v="161"/>
    <x v="17"/>
  </r>
  <r>
    <n v="1703226"/>
    <n v="280"/>
    <x v="3"/>
  </r>
  <r>
    <n v="1703227"/>
    <n v="460"/>
    <x v="2"/>
  </r>
  <r>
    <n v="1703228"/>
    <n v="177"/>
    <x v="11"/>
  </r>
  <r>
    <n v="1703229"/>
    <n v="460"/>
    <x v="2"/>
  </r>
  <r>
    <n v="1703230"/>
    <n v="244"/>
    <x v="43"/>
  </r>
  <r>
    <n v="1703231"/>
    <n v="201"/>
    <x v="7"/>
  </r>
  <r>
    <n v="1703232"/>
    <n v="460"/>
    <x v="2"/>
  </r>
  <r>
    <n v="1703233"/>
    <n v="200"/>
    <x v="32"/>
  </r>
  <r>
    <n v="1703234"/>
    <n v="244"/>
    <x v="43"/>
  </r>
  <r>
    <n v="1703235"/>
    <n v="200"/>
    <x v="32"/>
  </r>
  <r>
    <n v="1703236"/>
    <n v="53"/>
    <x v="27"/>
  </r>
  <r>
    <n v="1703237"/>
    <n v="281"/>
    <x v="4"/>
  </r>
  <r>
    <n v="1703238"/>
    <n v="244"/>
    <x v="43"/>
  </r>
  <r>
    <n v="1703239"/>
    <n v="280"/>
    <x v="3"/>
  </r>
  <r>
    <n v="1703240"/>
    <n v="50"/>
    <x v="35"/>
  </r>
  <r>
    <n v="1703241"/>
    <n v="350"/>
    <x v="37"/>
  </r>
  <r>
    <n v="1703242"/>
    <n v="450"/>
    <x v="41"/>
  </r>
  <r>
    <n v="1703243"/>
    <n v="281"/>
    <x v="4"/>
  </r>
  <r>
    <n v="1703244"/>
    <n v="470"/>
    <x v="1"/>
  </r>
  <r>
    <n v="1703245"/>
    <n v="245"/>
    <x v="6"/>
  </r>
  <r>
    <n v="1703246"/>
    <n v="201"/>
    <x v="7"/>
  </r>
  <r>
    <n v="1703247"/>
    <n v="220"/>
    <x v="31"/>
  </r>
  <r>
    <n v="1703248"/>
    <n v="177"/>
    <x v="11"/>
  </r>
  <r>
    <n v="1703249"/>
    <n v="460"/>
    <x v="2"/>
  </r>
  <r>
    <n v="1703250"/>
    <n v="244"/>
    <x v="43"/>
  </r>
  <r>
    <n v="1703251"/>
    <n v="201"/>
    <x v="7"/>
  </r>
  <r>
    <n v="1703252"/>
    <n v="460"/>
    <x v="2"/>
  </r>
  <r>
    <n v="1703253"/>
    <n v="430"/>
    <x v="13"/>
  </r>
  <r>
    <n v="1703254"/>
    <n v="465"/>
    <x v="57"/>
  </r>
  <r>
    <n v="1703255"/>
    <n v="244"/>
    <x v="43"/>
  </r>
  <r>
    <n v="1703256"/>
    <n v="245"/>
    <x v="6"/>
  </r>
  <r>
    <n v="1703257"/>
    <n v="282"/>
    <x v="52"/>
  </r>
  <r>
    <n v="1703258"/>
    <n v="245"/>
    <x v="6"/>
  </r>
  <r>
    <n v="1703259"/>
    <n v="245"/>
    <x v="6"/>
  </r>
  <r>
    <n v="1703260"/>
    <n v="460"/>
    <x v="2"/>
  </r>
  <r>
    <n v="1703261"/>
    <n v="245"/>
    <x v="6"/>
  </r>
  <r>
    <n v="1703262"/>
    <n v="200"/>
    <x v="32"/>
  </r>
  <r>
    <n v="1703263"/>
    <n v="161"/>
    <x v="17"/>
  </r>
  <r>
    <n v="1703264"/>
    <n v="470"/>
    <x v="1"/>
  </r>
  <r>
    <n v="1703265"/>
    <n v="280"/>
    <x v="3"/>
  </r>
  <r>
    <n v="1703266"/>
    <n v="200"/>
    <x v="32"/>
  </r>
  <r>
    <n v="1703268"/>
    <n v="460"/>
    <x v="2"/>
  </r>
  <r>
    <n v="1703269"/>
    <n v="139"/>
    <x v="33"/>
  </r>
  <r>
    <n v="1703270"/>
    <n v="244"/>
    <x v="43"/>
  </r>
  <r>
    <n v="1703271"/>
    <n v="200"/>
    <x v="32"/>
  </r>
  <r>
    <n v="1703272"/>
    <n v="250"/>
    <x v="10"/>
  </r>
  <r>
    <n v="1703273"/>
    <n v="245"/>
    <x v="6"/>
  </r>
  <r>
    <n v="1703274"/>
    <n v="430"/>
    <x v="13"/>
  </r>
  <r>
    <n v="1703275"/>
    <n v="200"/>
    <x v="32"/>
  </r>
  <r>
    <n v="1703276"/>
    <n v="200"/>
    <x v="32"/>
  </r>
  <r>
    <n v="1703277"/>
    <n v="200"/>
    <x v="32"/>
  </r>
  <r>
    <n v="1703278"/>
    <n v="71"/>
    <x v="25"/>
  </r>
  <r>
    <n v="1703279"/>
    <n v="470"/>
    <x v="1"/>
  </r>
  <r>
    <n v="1703280"/>
    <n v="450"/>
    <x v="41"/>
  </r>
  <r>
    <n v="1703281"/>
    <n v="470"/>
    <x v="1"/>
  </r>
  <r>
    <n v="1703282"/>
    <n v="250"/>
    <x v="10"/>
  </r>
  <r>
    <n v="1703283"/>
    <n v="201"/>
    <x v="7"/>
  </r>
  <r>
    <n v="1703284"/>
    <n v="280"/>
    <x v="3"/>
  </r>
  <r>
    <n v="1703285"/>
    <n v="245"/>
    <x v="6"/>
  </r>
  <r>
    <n v="1703286"/>
    <n v="52"/>
    <x v="9"/>
  </r>
  <r>
    <n v="1703287"/>
    <n v="460"/>
    <x v="2"/>
  </r>
  <r>
    <n v="1703288"/>
    <n v="201"/>
    <x v="7"/>
  </r>
  <r>
    <n v="1703289"/>
    <n v="250"/>
    <x v="10"/>
  </r>
  <r>
    <n v="1703290"/>
    <n v="64"/>
    <x v="28"/>
  </r>
  <r>
    <n v="1703291"/>
    <n v="161"/>
    <x v="17"/>
  </r>
  <r>
    <n v="1703292"/>
    <n v="250"/>
    <x v="10"/>
  </r>
  <r>
    <n v="1703294"/>
    <n v="161"/>
    <x v="17"/>
  </r>
  <r>
    <n v="1703295"/>
    <n v="470"/>
    <x v="1"/>
  </r>
  <r>
    <n v="1703296"/>
    <n v="430"/>
    <x v="13"/>
  </r>
  <r>
    <n v="1703297"/>
    <n v="30"/>
    <x v="47"/>
  </r>
  <r>
    <n v="1703298"/>
    <n v="280"/>
    <x v="3"/>
  </r>
  <r>
    <n v="1703299"/>
    <n v="250"/>
    <x v="10"/>
  </r>
  <r>
    <n v="1703300"/>
    <n v="280"/>
    <x v="3"/>
  </r>
  <r>
    <n v="1703301"/>
    <n v="470"/>
    <x v="1"/>
  </r>
  <r>
    <n v="1703302"/>
    <n v="470"/>
    <x v="1"/>
  </r>
  <r>
    <n v="1703303"/>
    <n v="415"/>
    <x v="36"/>
  </r>
  <r>
    <n v="1703304"/>
    <n v="245"/>
    <x v="6"/>
  </r>
  <r>
    <n v="1703305"/>
    <n v="280"/>
    <x v="3"/>
  </r>
  <r>
    <n v="1703306"/>
    <n v="460"/>
    <x v="2"/>
  </r>
  <r>
    <n v="1703307"/>
    <n v="280"/>
    <x v="3"/>
  </r>
  <r>
    <n v="1703308"/>
    <n v="280"/>
    <x v="3"/>
  </r>
  <r>
    <n v="1703309"/>
    <n v="41"/>
    <x v="23"/>
  </r>
  <r>
    <n v="1703310"/>
    <n v="460"/>
    <x v="2"/>
  </r>
  <r>
    <n v="1703311"/>
    <n v="245"/>
    <x v="6"/>
  </r>
  <r>
    <n v="1703312"/>
    <n v="280"/>
    <x v="3"/>
  </r>
  <r>
    <n v="1703313"/>
    <n v="470"/>
    <x v="1"/>
  </r>
  <r>
    <n v="1703314"/>
    <n v="250"/>
    <x v="10"/>
  </r>
  <r>
    <n v="1703315"/>
    <n v="40"/>
    <x v="21"/>
  </r>
  <r>
    <n v="1703316"/>
    <n v="430"/>
    <x v="13"/>
  </r>
  <r>
    <n v="1703317"/>
    <n v="130"/>
    <x v="39"/>
  </r>
  <r>
    <n v="1703318"/>
    <n v="280"/>
    <x v="3"/>
  </r>
  <r>
    <n v="1703319"/>
    <n v="52"/>
    <x v="9"/>
  </r>
  <r>
    <n v="1703320"/>
    <n v="161"/>
    <x v="17"/>
  </r>
  <r>
    <n v="1703321"/>
    <n v="161"/>
    <x v="17"/>
  </r>
  <r>
    <n v="1703322"/>
    <n v="63"/>
    <x v="16"/>
  </r>
  <r>
    <n v="1703323"/>
    <n v="470"/>
    <x v="1"/>
  </r>
  <r>
    <n v="1703324"/>
    <n v="160"/>
    <x v="56"/>
  </r>
  <r>
    <n v="1703325"/>
    <n v="220"/>
    <x v="31"/>
  </r>
  <r>
    <n v="1703326"/>
    <n v="430"/>
    <x v="13"/>
  </r>
  <r>
    <n v="1703327"/>
    <n v="220"/>
    <x v="31"/>
  </r>
  <r>
    <n v="1703328"/>
    <n v="470"/>
    <x v="1"/>
  </r>
  <r>
    <n v="1703329"/>
    <n v="470"/>
    <x v="1"/>
  </r>
  <r>
    <n v="1703330"/>
    <n v="64"/>
    <x v="28"/>
  </r>
  <r>
    <n v="1703331"/>
    <n v="245"/>
    <x v="6"/>
  </r>
  <r>
    <n v="1703332"/>
    <n v="64"/>
    <x v="28"/>
  </r>
  <r>
    <n v="1703333"/>
    <n v="245"/>
    <x v="6"/>
  </r>
  <r>
    <n v="1703334"/>
    <n v="280"/>
    <x v="3"/>
  </r>
  <r>
    <n v="1703335"/>
    <n v="470"/>
    <x v="1"/>
  </r>
  <r>
    <n v="1703336"/>
    <n v="470"/>
    <x v="1"/>
  </r>
  <r>
    <n v="1703337"/>
    <n v="64"/>
    <x v="28"/>
  </r>
  <r>
    <n v="1703338"/>
    <n v="101"/>
    <x v="61"/>
  </r>
  <r>
    <n v="1703339"/>
    <n v="430"/>
    <x v="13"/>
  </r>
  <r>
    <n v="1703340"/>
    <n v="63"/>
    <x v="16"/>
  </r>
  <r>
    <n v="1703341"/>
    <n v="470"/>
    <x v="1"/>
  </r>
  <r>
    <n v="1703342"/>
    <n v="470"/>
    <x v="1"/>
  </r>
  <r>
    <n v="1703343"/>
    <n v="176"/>
    <x v="5"/>
  </r>
  <r>
    <n v="1703344"/>
    <n v="161"/>
    <x v="17"/>
  </r>
  <r>
    <n v="1703345"/>
    <n v="63"/>
    <x v="16"/>
  </r>
  <r>
    <n v="1703346"/>
    <n v="130"/>
    <x v="39"/>
  </r>
  <r>
    <n v="1703347"/>
    <n v="245"/>
    <x v="6"/>
  </r>
  <r>
    <n v="1703348"/>
    <n v="52"/>
    <x v="9"/>
  </r>
  <r>
    <n v="1703349"/>
    <n v="245"/>
    <x v="6"/>
  </r>
  <r>
    <n v="1703350"/>
    <n v="177"/>
    <x v="11"/>
  </r>
  <r>
    <n v="1703351"/>
    <n v="281"/>
    <x v="4"/>
  </r>
  <r>
    <n v="1703352"/>
    <n v="280"/>
    <x v="3"/>
  </r>
  <r>
    <n v="1703354"/>
    <n v="460"/>
    <x v="2"/>
  </r>
  <r>
    <n v="1703355"/>
    <n v="430"/>
    <x v="13"/>
  </r>
  <r>
    <n v="1703356"/>
    <n v="470"/>
    <x v="1"/>
  </r>
  <r>
    <n v="1703357"/>
    <n v="41"/>
    <x v="23"/>
  </r>
  <r>
    <n v="1703358"/>
    <n v="71"/>
    <x v="25"/>
  </r>
  <r>
    <n v="1703359"/>
    <n v="330"/>
    <x v="54"/>
  </r>
  <r>
    <n v="1703360"/>
    <n v="371"/>
    <x v="58"/>
  </r>
  <r>
    <n v="1703361"/>
    <n v="63"/>
    <x v="16"/>
  </r>
  <r>
    <n v="1703362"/>
    <n v="430"/>
    <x v="13"/>
  </r>
  <r>
    <n v="1703363"/>
    <n v="460"/>
    <x v="2"/>
  </r>
  <r>
    <n v="1703364"/>
    <n v="202"/>
    <x v="48"/>
  </r>
  <r>
    <n v="1703365"/>
    <n v="470"/>
    <x v="1"/>
  </r>
  <r>
    <n v="1703366"/>
    <n v="245"/>
    <x v="6"/>
  </r>
  <r>
    <n v="1703367"/>
    <n v="470"/>
    <x v="1"/>
  </r>
  <r>
    <n v="1703368"/>
    <n v="63"/>
    <x v="16"/>
  </r>
  <r>
    <n v="1703369"/>
    <n v="245"/>
    <x v="6"/>
  </r>
  <r>
    <n v="1703370"/>
    <n v="245"/>
    <x v="6"/>
  </r>
  <r>
    <n v="1703371"/>
    <n v="52"/>
    <x v="9"/>
  </r>
  <r>
    <n v="1703372"/>
    <n v="280"/>
    <x v="3"/>
  </r>
  <r>
    <n v="1703373"/>
    <n v="281"/>
    <x v="4"/>
  </r>
  <r>
    <n v="1703374"/>
    <n v="73"/>
    <x v="51"/>
  </r>
  <r>
    <n v="1703375"/>
    <n v="250"/>
    <x v="10"/>
  </r>
  <r>
    <n v="1703376"/>
    <n v="245"/>
    <x v="6"/>
  </r>
  <r>
    <n v="1703377"/>
    <n v="470"/>
    <x v="1"/>
  </r>
  <r>
    <n v="1703378"/>
    <n v="470"/>
    <x v="1"/>
  </r>
  <r>
    <n v="1703379"/>
    <n v="470"/>
    <x v="1"/>
  </r>
  <r>
    <n v="1703380"/>
    <n v="280"/>
    <x v="3"/>
  </r>
  <r>
    <n v="1703381"/>
    <n v="460"/>
    <x v="2"/>
  </r>
  <r>
    <n v="1703382"/>
    <n v="430"/>
    <x v="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5">
  <r>
    <n v="1702311"/>
    <n v="242"/>
    <s v="FIGHT DISTURBANCE"/>
    <x v="0"/>
  </r>
  <r>
    <n v="1702312"/>
    <n v="470"/>
    <s v="PARKING VIOLATION (EXCEPT ABANDONED VEHICLES)"/>
    <x v="1"/>
  </r>
  <r>
    <n v="1702316"/>
    <n v="460"/>
    <s v="TRAFFIC (MOVING) VIOLATION"/>
    <x v="2"/>
  </r>
  <r>
    <n v="1702317"/>
    <n v="280"/>
    <s v="SUSPICIOUS PERSON"/>
    <x v="3"/>
  </r>
  <r>
    <n v="1702318"/>
    <n v="281"/>
    <s v="SUSPICIOUS VEHICLE"/>
    <x v="2"/>
  </r>
  <r>
    <n v="1702319"/>
    <n v="176"/>
    <s v="LIQUOR VIOLATION - ADULT"/>
    <x v="0"/>
  </r>
  <r>
    <n v="1702321"/>
    <n v="245"/>
    <s v="DISTURBANCE, OTHER"/>
    <x v="4"/>
  </r>
  <r>
    <n v="1702322"/>
    <n v="201"/>
    <s v="ALACAD - RESIDENTIAL BURGLARY (FALSE)"/>
    <x v="0"/>
  </r>
  <r>
    <n v="1702323"/>
    <n v="245"/>
    <s v="DISTURBANCE, OTHER"/>
    <x v="4"/>
  </r>
  <r>
    <n v="1702324"/>
    <n v="65"/>
    <s v="THEFT - MISCELLANEOUS"/>
    <x v="5"/>
  </r>
  <r>
    <n v="1702325"/>
    <n v="245"/>
    <s v="DISTURBANCE, OTHER"/>
    <x v="6"/>
  </r>
  <r>
    <n v="1702326"/>
    <n v="280"/>
    <s v="SUSPICIOUS PERSON"/>
    <x v="7"/>
  </r>
  <r>
    <n v="1702327"/>
    <n v="460"/>
    <s v="TRAFFIC (MOVING) VIOLATION"/>
    <x v="8"/>
  </r>
  <r>
    <n v="1702328"/>
    <n v="280"/>
    <s v="SUSPICIOUS PERSON"/>
    <x v="9"/>
  </r>
  <r>
    <n v="1702329"/>
    <n v="245"/>
    <s v="DISTURBANCE, OTHER"/>
    <x v="10"/>
  </r>
  <r>
    <n v="1702330"/>
    <n v="281"/>
    <s v="SUSPICIOUS VEHICLE"/>
    <x v="8"/>
  </r>
  <r>
    <n v="1702331"/>
    <n v="52"/>
    <s v="BURGLARY - COMMERCIAL"/>
    <x v="11"/>
  </r>
  <r>
    <n v="1702332"/>
    <n v="250"/>
    <s v="MISCHIEF, NUISANCE COMPLAINTS"/>
    <x v="10"/>
  </r>
  <r>
    <n v="1702333"/>
    <n v="177"/>
    <s v="LIQUOR VIOLATION - INTOXICATED PERSON"/>
    <x v="12"/>
  </r>
  <r>
    <n v="1702334"/>
    <n v="363"/>
    <s v="MISSING PERSON"/>
    <x v="13"/>
  </r>
  <r>
    <n v="1702335"/>
    <n v="245"/>
    <s v="DISTURBANCE, OTHER"/>
    <x v="14"/>
  </r>
  <r>
    <n v="1702336"/>
    <n v="430"/>
    <s v="MOTOR VEHICLE COLLISION"/>
    <x v="12"/>
  </r>
  <r>
    <n v="1702337"/>
    <n v="280"/>
    <s v="SUSPICIOUS PERSON"/>
    <x v="10"/>
  </r>
  <r>
    <n v="1702338"/>
    <n v="280"/>
    <s v="SUSPICIOUS PERSON"/>
    <x v="14"/>
  </r>
  <r>
    <n v="1702339"/>
    <n v="186"/>
    <s v="NARCOTICS, DRUG TRAFFIC LOITERING"/>
    <x v="7"/>
  </r>
  <r>
    <n v="1702340"/>
    <n v="245"/>
    <s v="DISTURBANCE, OTHER"/>
    <x v="15"/>
  </r>
  <r>
    <n v="1702341"/>
    <n v="372"/>
    <s v="PROPERTY - FOUND (FOLLOW UP TO SPD CASE)"/>
    <x v="10"/>
  </r>
  <r>
    <n v="1702342"/>
    <n v="63"/>
    <s v="THEFT - CAR PROWL"/>
    <x v="16"/>
  </r>
  <r>
    <n v="1702343"/>
    <n v="470"/>
    <s v="PARKING VIOLATION (EXCEPT ABANDONED VEHICLES)"/>
    <x v="17"/>
  </r>
  <r>
    <n v="1702344"/>
    <n v="161"/>
    <s v="TRESPASS"/>
    <x v="17"/>
  </r>
  <r>
    <n v="1702345"/>
    <n v="74"/>
    <s v="LICENSE PLATE THEFT OR LOSS"/>
    <x v="18"/>
  </r>
  <r>
    <n v="1702346"/>
    <n v="430"/>
    <s v="MOTOR VEHICLE COLLISION"/>
    <x v="19"/>
  </r>
  <r>
    <n v="1702347"/>
    <n v="280"/>
    <s v="SUSPICIOUS PERSON"/>
    <x v="20"/>
  </r>
  <r>
    <n v="1702348"/>
    <n v="245"/>
    <s v="DISTURBANCE, OTHER"/>
    <x v="21"/>
  </r>
  <r>
    <n v="1702349"/>
    <n v="460"/>
    <s v="TRAFFIC (MOVING) VIOLATION"/>
    <x v="22"/>
  </r>
  <r>
    <n v="1702350"/>
    <n v="245"/>
    <s v="DISTURBANCE, OTHER"/>
    <x v="23"/>
  </r>
  <r>
    <n v="1702351"/>
    <n v="341"/>
    <s v="HARBOR - DEBRIS, NAVIGATIONAL HAZARDS"/>
    <x v="24"/>
  </r>
  <r>
    <n v="1702352"/>
    <n v="245"/>
    <s v="DISTURBANCE, OTHER"/>
    <x v="25"/>
  </r>
  <r>
    <n v="1702353"/>
    <n v="245"/>
    <s v="DISTURBANCE, OTHER"/>
    <x v="23"/>
  </r>
  <r>
    <n v="1702354"/>
    <n v="280"/>
    <s v="SUSPICIOUS PERSON"/>
    <x v="26"/>
  </r>
  <r>
    <n v="1702355"/>
    <n v="363"/>
    <s v="MISSING PERSON"/>
    <x v="22"/>
  </r>
  <r>
    <n v="1702356"/>
    <n v="51"/>
    <s v="BURGLARY - RESIDENTIAL, OCCUPIED"/>
    <x v="27"/>
  </r>
  <r>
    <n v="1702357"/>
    <n v="40"/>
    <s v="ASSAULTS, OTHER"/>
    <x v="20"/>
  </r>
  <r>
    <n v="1702358"/>
    <n v="100"/>
    <s v="FRAUD (INCLUDING IDENTITY THEFT)"/>
    <x v="28"/>
  </r>
  <r>
    <n v="1702360"/>
    <n v="430"/>
    <s v="MOTOR VEHICLE COLLISION"/>
    <x v="29"/>
  </r>
  <r>
    <n v="1702361"/>
    <n v="250"/>
    <s v="MISCHIEF, NUISANCE COMPLAINTS"/>
    <x v="30"/>
  </r>
  <r>
    <n v="1702362"/>
    <n v="177"/>
    <s v="LIQUOR VIOLATION - INTOXICATED PERSON"/>
    <x v="31"/>
  </r>
  <r>
    <n v="1702363"/>
    <n v="245"/>
    <s v="DISTURBANCE, OTHER"/>
    <x v="32"/>
  </r>
  <r>
    <n v="1702364"/>
    <n v="161"/>
    <s v="TRESPASS"/>
    <x v="30"/>
  </r>
  <r>
    <n v="1702365"/>
    <n v="280"/>
    <s v="SUSPICIOUS PERSON"/>
    <x v="33"/>
  </r>
  <r>
    <n v="1702366"/>
    <n v="430"/>
    <s v="MOTOR VEHICLE COLLISION"/>
    <x v="34"/>
  </r>
  <r>
    <n v="1702367"/>
    <n v="41"/>
    <s v="HARASSMENT, THREATS"/>
    <x v="35"/>
  </r>
  <r>
    <n v="1702368"/>
    <n v="430"/>
    <s v="MOTOR VEHICLE COLLISION"/>
    <x v="30"/>
  </r>
  <r>
    <n v="1702369"/>
    <n v="430"/>
    <s v="MOTOR VEHICLE COLLISION"/>
    <x v="33"/>
  </r>
  <r>
    <n v="1702370"/>
    <n v="63"/>
    <s v="THEFT - CAR PROWL"/>
    <x v="36"/>
  </r>
  <r>
    <n v="1702372"/>
    <n v="242"/>
    <s v="FIGHT DISTURBANCE"/>
    <x v="37"/>
  </r>
  <r>
    <n v="1702373"/>
    <n v="410"/>
    <s v="ABANDONED VEHICLE"/>
    <x v="38"/>
  </r>
  <r>
    <n v="1702374"/>
    <n v="71"/>
    <s v="AUTO THEFT"/>
    <x v="39"/>
  </r>
  <r>
    <n v="1702375"/>
    <n v="430"/>
    <s v="MOTOR VEHICLE COLLISION"/>
    <x v="40"/>
  </r>
  <r>
    <n v="1702376"/>
    <n v="430"/>
    <s v="MOTOR VEHICLE COLLISION"/>
    <x v="41"/>
  </r>
  <r>
    <n v="1702377"/>
    <n v="177"/>
    <s v="LIQUOR VIOLATION - INTOXICATED PERSON"/>
    <x v="42"/>
  </r>
  <r>
    <n v="1702378"/>
    <n v="184"/>
    <s v="NARCOTICS, OTHER"/>
    <x v="43"/>
  </r>
  <r>
    <n v="1702379"/>
    <n v="245"/>
    <s v="DISTURBANCE, OTHER"/>
    <x v="43"/>
  </r>
  <r>
    <n v="1702380"/>
    <n v="53"/>
    <s v="BURGLARY - UNOCCUPIED STRUCTURE ON RESIDENTIAL PROPERTY"/>
    <x v="44"/>
  </r>
  <r>
    <n v="1702381"/>
    <n v="63"/>
    <s v="THEFT - CAR PROWL"/>
    <x v="45"/>
  </r>
  <r>
    <n v="1702382"/>
    <n v="64"/>
    <s v="SHOPLIFT"/>
    <x v="46"/>
  </r>
  <r>
    <n v="1702383"/>
    <n v="470"/>
    <s v="PARKING VIOLATION (EXCEPT ABANDONED VEHICLES)"/>
    <x v="47"/>
  </r>
  <r>
    <n v="1702384"/>
    <n v="203"/>
    <s v="ALACAD - RESIDENTIAL PANIC (FALSE)"/>
    <x v="48"/>
  </r>
  <r>
    <n v="1702385"/>
    <n v="430"/>
    <s v="MOTOR VEHICLE COLLISION"/>
    <x v="43"/>
  </r>
  <r>
    <n v="1702386"/>
    <n v="470"/>
    <s v="PARKING VIOLATION (EXCEPT ABANDONED VEHICLES)"/>
    <x v="49"/>
  </r>
  <r>
    <n v="1702387"/>
    <n v="470"/>
    <s v="PARKING VIOLATION (EXCEPT ABANDONED VEHICLES)"/>
    <x v="50"/>
  </r>
  <r>
    <n v="1702388"/>
    <n v="281"/>
    <s v="SUSPICIOUS VEHICLE"/>
    <x v="50"/>
  </r>
  <r>
    <n v="1702389"/>
    <n v="430"/>
    <s v="MOTOR VEHICLE COLLISION"/>
    <x v="51"/>
  </r>
  <r>
    <n v="1702390"/>
    <n v="470"/>
    <s v="PARKING VIOLATION (EXCEPT ABANDONED VEHICLES)"/>
    <x v="52"/>
  </r>
  <r>
    <n v="1702391"/>
    <n v="292"/>
    <s v="PERSON WITH A WEAPON (NOT GUN)"/>
    <x v="53"/>
  </r>
  <r>
    <n v="1702392"/>
    <n v="281"/>
    <s v="SUSPICIOUS VEHICLE"/>
    <x v="54"/>
  </r>
  <r>
    <n v="1702393"/>
    <n v="430"/>
    <s v="MOTOR VEHICLE COLLISION"/>
    <x v="52"/>
  </r>
  <r>
    <n v="1702394"/>
    <n v="220"/>
    <s v="CRISIS COMPLAINT - GENERAL"/>
    <x v="55"/>
  </r>
  <r>
    <n v="1702395"/>
    <n v="280"/>
    <s v="SUSPICIOUS PERSON"/>
    <x v="56"/>
  </r>
  <r>
    <n v="1702396"/>
    <n v="250"/>
    <s v="MISCHIEF, NUISANCE COMPLAINTS"/>
    <x v="57"/>
  </r>
  <r>
    <n v="1702397"/>
    <n v="280"/>
    <s v="SUSPICIOUS PERSON"/>
    <x v="58"/>
  </r>
  <r>
    <n v="1702398"/>
    <n v="220"/>
    <s v="CRISIS COMPLAINT - GENERAL"/>
    <x v="59"/>
  </r>
  <r>
    <n v="1702399"/>
    <n v="242"/>
    <s v="FIGHT DISTURBANCE"/>
    <x v="60"/>
  </r>
  <r>
    <n v="1702400"/>
    <n v="64"/>
    <s v="SHOPLIFT"/>
    <x v="61"/>
  </r>
  <r>
    <n v="1702401"/>
    <n v="63"/>
    <s v="THEFT - CAR PROWL"/>
    <x v="62"/>
  </r>
  <r>
    <n v="1702402"/>
    <n v="100"/>
    <s v="FRAUD (INCLUDING IDENTITY THEFT)"/>
    <x v="61"/>
  </r>
  <r>
    <n v="1702403"/>
    <n v="245"/>
    <s v="DISTURBANCE, OTHER"/>
    <x v="63"/>
  </r>
  <r>
    <n v="1702404"/>
    <n v="200"/>
    <s v="ALACAD - COMMERCIAL BURGLARY (FALSE)"/>
    <x v="64"/>
  </r>
  <r>
    <n v="1702405"/>
    <n v="245"/>
    <s v="DISTURBANCE, OTHER"/>
    <x v="65"/>
  </r>
  <r>
    <n v="1702406"/>
    <n v="280"/>
    <s v="SUSPICIOUS PERSON"/>
    <x v="66"/>
  </r>
  <r>
    <n v="1702407"/>
    <n v="40"/>
    <s v="ASSAULTS, OTHER"/>
    <x v="67"/>
  </r>
  <r>
    <n v="1702408"/>
    <n v="40"/>
    <s v="ASSAULTS, OTHER"/>
    <x v="64"/>
  </r>
  <r>
    <n v="1702409"/>
    <n v="71"/>
    <s v="AUTO THEFT"/>
    <x v="68"/>
  </r>
  <r>
    <n v="1702410"/>
    <n v="430"/>
    <s v="MOTOR VEHICLE COLLISION"/>
    <x v="66"/>
  </r>
  <r>
    <n v="1702411"/>
    <n v="470"/>
    <s v="PARKING VIOLATION (EXCEPT ABANDONED VEHICLES)"/>
    <x v="64"/>
  </r>
  <r>
    <n v="1702412"/>
    <n v="184"/>
    <s v="NARCOTICS, OTHER"/>
    <x v="66"/>
  </r>
  <r>
    <n v="1702413"/>
    <n v="139"/>
    <s v="GANG GRAFFITI"/>
    <x v="69"/>
  </r>
  <r>
    <n v="1702414"/>
    <n v="161"/>
    <s v="TRESPASS"/>
    <x v="66"/>
  </r>
  <r>
    <n v="1702415"/>
    <n v="245"/>
    <s v="DISTURBANCE, OTHER"/>
    <x v="65"/>
  </r>
  <r>
    <n v="1702416"/>
    <n v="281"/>
    <s v="SUSPICIOUS VEHICLE"/>
    <x v="62"/>
  </r>
  <r>
    <n v="1702417"/>
    <n v="460"/>
    <s v="TRAFFIC (MOVING) VIOLATION"/>
    <x v="70"/>
  </r>
  <r>
    <n v="1702418"/>
    <n v="460"/>
    <s v="TRAFFIC (MOVING) VIOLATION"/>
    <x v="71"/>
  </r>
  <r>
    <n v="1702419"/>
    <n v="242"/>
    <s v="FIGHT DISTURBANCE"/>
    <x v="71"/>
  </r>
  <r>
    <n v="1702420"/>
    <n v="200"/>
    <s v="ALACAD - COMMERCIAL BURGLARY (FALSE)"/>
    <x v="72"/>
  </r>
  <r>
    <n v="1702421"/>
    <n v="280"/>
    <s v="SUSPICIOUS PERSON"/>
    <x v="71"/>
  </r>
  <r>
    <n v="1702422"/>
    <n v="261"/>
    <s v="ANIMAL NOISE, STRAYS, BITES"/>
    <x v="73"/>
  </r>
  <r>
    <n v="1702423"/>
    <n v="250"/>
    <s v="MISCHIEF, NUISANCE COMPLAINTS"/>
    <x v="74"/>
  </r>
  <r>
    <n v="1702424"/>
    <n v="220"/>
    <s v="CRISIS COMPLAINT - GENERAL"/>
    <x v="75"/>
  </r>
  <r>
    <n v="1702425"/>
    <n v="63"/>
    <s v="THEFT - CAR PROWL"/>
    <x v="76"/>
  </r>
  <r>
    <n v="1702426"/>
    <n v="50"/>
    <s v="BURGLARY - RESIDENTIAL, UNOCCUPIED"/>
    <x v="77"/>
  </r>
  <r>
    <n v="1702427"/>
    <n v="63"/>
    <s v="THEFT - CAR PROWL"/>
    <x v="78"/>
  </r>
  <r>
    <n v="1702428"/>
    <n v="41"/>
    <s v="HARASSMENT, THREATS"/>
    <x v="74"/>
  </r>
  <r>
    <n v="1702429"/>
    <n v="280"/>
    <s v="SUSPICIOUS PERSON"/>
    <x v="79"/>
  </r>
  <r>
    <n v="1702430"/>
    <n v="200"/>
    <s v="ALACAD - COMMERCIAL BURGLARY (FALSE)"/>
    <x v="80"/>
  </r>
  <r>
    <n v="1702431"/>
    <n v="161"/>
    <s v="TRESPASS"/>
    <x v="81"/>
  </r>
  <r>
    <n v="1702432"/>
    <n v="63"/>
    <s v="THEFT - CAR PROWL"/>
    <x v="74"/>
  </r>
  <r>
    <n v="1702433"/>
    <n v="250"/>
    <s v="MISCHIEF, NUISANCE COMPLAINTS"/>
    <x v="82"/>
  </r>
  <r>
    <n v="1702434"/>
    <n v="200"/>
    <s v="ALACAD - COMMERCIAL BURGLARY (FALSE)"/>
    <x v="83"/>
  </r>
  <r>
    <n v="1702435"/>
    <n v="220"/>
    <s v="CRISIS COMPLAINT - GENERAL"/>
    <x v="83"/>
  </r>
  <r>
    <n v="1702436"/>
    <n v="50"/>
    <s v="BURGLARY - RESIDENTIAL, UNOCCUPIED"/>
    <x v="83"/>
  </r>
  <r>
    <n v="1702437"/>
    <n v="201"/>
    <s v="ALACAD - RESIDENTIAL BURGLARY (FALSE)"/>
    <x v="83"/>
  </r>
  <r>
    <n v="1702438"/>
    <n v="460"/>
    <s v="TRAFFIC (MOVING) VIOLATION"/>
    <x v="84"/>
  </r>
  <r>
    <n v="1702439"/>
    <n v="177"/>
    <s v="LIQUOR VIOLATION - INTOXICATED PERSON"/>
    <x v="85"/>
  </r>
  <r>
    <n v="1702440"/>
    <n v="415"/>
    <s v="BLOCKING VEHICLE"/>
    <x v="86"/>
  </r>
  <r>
    <n v="1702441"/>
    <n v="281"/>
    <s v="SUSPICIOUS VEHICLE"/>
    <x v="87"/>
  </r>
  <r>
    <n v="1702442"/>
    <n v="350"/>
    <s v="HAZARDS"/>
    <x v="85"/>
  </r>
  <r>
    <n v="1702443"/>
    <n v="470"/>
    <s v="PARKING VIOLATION (EXCEPT ABANDONED VEHICLES)"/>
    <x v="88"/>
  </r>
  <r>
    <n v="1702444"/>
    <n v="245"/>
    <s v="DISTURBANCE, OTHER"/>
    <x v="89"/>
  </r>
  <r>
    <n v="1702445"/>
    <n v="250"/>
    <s v="MISCHIEF, NUISANCE COMPLAINTS"/>
    <x v="90"/>
  </r>
  <r>
    <n v="1702446"/>
    <n v="177"/>
    <s v="LIQUOR VIOLATION - INTOXICATED PERSON"/>
    <x v="91"/>
  </r>
  <r>
    <n v="1702447"/>
    <n v="280"/>
    <s v="SUSPICIOUS PERSON"/>
    <x v="92"/>
  </r>
  <r>
    <n v="1702448"/>
    <n v="177"/>
    <s v="LIQUOR VIOLATION - INTOXICATED PERSON"/>
    <x v="93"/>
  </r>
  <r>
    <n v="1702449"/>
    <n v="245"/>
    <s v="DISTURBANCE, OTHER"/>
    <x v="84"/>
  </r>
  <r>
    <n v="1702450"/>
    <n v="40"/>
    <s v="ASSAULTS, OTHER"/>
    <x v="93"/>
  </r>
  <r>
    <n v="1702451"/>
    <n v="192"/>
    <s v="MISDEMEANOR WARRANT SERVICE"/>
    <x v="90"/>
  </r>
  <r>
    <n v="1702452"/>
    <n v="470"/>
    <s v="PARKING VIOLATION (EXCEPT ABANDONED VEHICLES)"/>
    <x v="84"/>
  </r>
  <r>
    <n v="1702453"/>
    <n v="64"/>
    <s v="SHOPLIFT"/>
    <x v="94"/>
  </r>
  <r>
    <n v="1702454"/>
    <n v="245"/>
    <s v="DISTURBANCE, OTHER"/>
    <x v="95"/>
  </r>
  <r>
    <n v="1702455"/>
    <n v="430"/>
    <s v="MOTOR VEHICLE COLLISION"/>
    <x v="94"/>
  </r>
  <r>
    <n v="1702456"/>
    <n v="41"/>
    <s v="HARASSMENT, THREATS"/>
    <x v="96"/>
  </r>
  <r>
    <n v="1702457"/>
    <n v="470"/>
    <s v="PARKING VIOLATION (EXCEPT ABANDONED VEHICLES)"/>
    <x v="97"/>
  </r>
  <r>
    <n v="1702458"/>
    <n v="130"/>
    <s v="PROPERTY DESTRUCTION"/>
    <x v="98"/>
  </r>
  <r>
    <n v="1702459"/>
    <n v="470"/>
    <s v="PARKING VIOLATION (EXCEPT ABANDONED VEHICLES)"/>
    <x v="99"/>
  </r>
  <r>
    <n v="1702460"/>
    <n v="410"/>
    <s v="ABANDONED VEHICLE"/>
    <x v="100"/>
  </r>
  <r>
    <n v="1702461"/>
    <n v="250"/>
    <s v="MISCHIEF, NUISANCE COMPLAINTS"/>
    <x v="101"/>
  </r>
  <r>
    <n v="1702462"/>
    <n v="171"/>
    <s v="PARKS EXCLUSION"/>
    <x v="100"/>
  </r>
  <r>
    <n v="1702463"/>
    <n v="203"/>
    <s v="ALACAD - RESIDENTIAL PANIC (FALSE)"/>
    <x v="102"/>
  </r>
  <r>
    <n v="1702464"/>
    <n v="245"/>
    <s v="DISTURBANCE, OTHER"/>
    <x v="103"/>
  </r>
  <r>
    <n v="1702465"/>
    <n v="64"/>
    <s v="SHOPLIFT"/>
    <x v="103"/>
  </r>
  <r>
    <n v="1702466"/>
    <n v="245"/>
    <s v="DISTURBANCE, OTHER"/>
    <x v="101"/>
  </r>
  <r>
    <n v="1702467"/>
    <n v="250"/>
    <s v="MISCHIEF, NUISANCE COMPLAINTS"/>
    <x v="101"/>
  </r>
  <r>
    <n v="1702468"/>
    <n v="250"/>
    <s v="MISCHIEF, NUISANCE COMPLAINTS"/>
    <x v="101"/>
  </r>
  <r>
    <n v="1702469"/>
    <n v="177"/>
    <s v="LIQUOR VIOLATION - INTOXICATED PERSON"/>
    <x v="104"/>
  </r>
  <r>
    <n v="1702470"/>
    <n v="220"/>
    <s v="CRISIS COMPLAINT - GENERAL"/>
    <x v="105"/>
  </r>
  <r>
    <n v="1702471"/>
    <n v="470"/>
    <s v="PARKING VIOLATION (EXCEPT ABANDONED VEHICLES)"/>
    <x v="106"/>
  </r>
  <r>
    <n v="1702472"/>
    <n v="64"/>
    <s v="SHOPLIFT"/>
    <x v="106"/>
  </r>
  <r>
    <n v="1702473"/>
    <n v="220"/>
    <s v="CRISIS COMPLAINT - GENERAL"/>
    <x v="107"/>
  </r>
  <r>
    <n v="1702474"/>
    <n v="470"/>
    <s v="PARKING VIOLATION (EXCEPT ABANDONED VEHICLES)"/>
    <x v="108"/>
  </r>
  <r>
    <n v="1702475"/>
    <n v="450"/>
    <s v="DRIVING WHILE UNDER INFLUENCE (DUI)"/>
    <x v="109"/>
  </r>
  <r>
    <n v="1702476"/>
    <n v="63"/>
    <s v="THEFT - CAR PROWL"/>
    <x v="110"/>
  </r>
  <r>
    <n v="1702477"/>
    <n v="450"/>
    <s v="DRIVING WHILE UNDER INFLUENCE (DUI)"/>
    <x v="111"/>
  </r>
  <r>
    <n v="1702478"/>
    <n v="460"/>
    <s v="TRAFFIC (MOVING) VIOLATION"/>
    <x v="112"/>
  </r>
  <r>
    <n v="1702479"/>
    <n v="450"/>
    <s v="DRIVING WHILE UNDER INFLUENCE (DUI)"/>
    <x v="113"/>
  </r>
  <r>
    <n v="1702480"/>
    <n v="280"/>
    <s v="SUSPICIOUS PERSON"/>
    <x v="114"/>
  </r>
  <r>
    <n v="1702481"/>
    <n v="460"/>
    <s v="TRAFFIC (MOVING) VIOLATION"/>
    <x v="115"/>
  </r>
  <r>
    <n v="1702482"/>
    <n v="280"/>
    <s v="SUSPICIOUS PERSON"/>
    <x v="116"/>
  </r>
  <r>
    <n v="1702483"/>
    <n v="460"/>
    <s v="TRAFFIC (MOVING) VIOLATION"/>
    <x v="117"/>
  </r>
  <r>
    <n v="1702484"/>
    <n v="460"/>
    <s v="TRAFFIC (MOVING) VIOLATION"/>
    <x v="118"/>
  </r>
  <r>
    <n v="1702485"/>
    <n v="430"/>
    <s v="MOTOR VEHICLE COLLISION"/>
    <x v="119"/>
  </r>
  <r>
    <n v="1702486"/>
    <n v="470"/>
    <s v="PARKING VIOLATION (EXCEPT ABANDONED VEHICLES)"/>
    <x v="120"/>
  </r>
  <r>
    <n v="1702487"/>
    <n v="245"/>
    <s v="DISTURBANCE, OTHER"/>
    <x v="120"/>
  </r>
  <r>
    <n v="1702488"/>
    <n v="200"/>
    <s v="ALACAD - COMMERCIAL BURGLARY (FALSE)"/>
    <x v="121"/>
  </r>
  <r>
    <n v="1702489"/>
    <n v="280"/>
    <s v="SUSPICIOUS PERSON"/>
    <x v="122"/>
  </r>
  <r>
    <n v="1702490"/>
    <n v="63"/>
    <s v="THEFT - CAR PROWL"/>
    <x v="123"/>
  </r>
  <r>
    <n v="1702491"/>
    <n v="65"/>
    <s v="THEFT - MISCELLANEOUS"/>
    <x v="123"/>
  </r>
  <r>
    <n v="1702492"/>
    <n v="177"/>
    <s v="LIQUOR VIOLATION - INTOXICATED PERSON"/>
    <x v="124"/>
  </r>
  <r>
    <n v="1702493"/>
    <n v="246"/>
    <s v="NOISE DISTURBANCE, RESIDENTIAL"/>
    <x v="125"/>
  </r>
  <r>
    <n v="1702494"/>
    <n v="245"/>
    <s v="DISTURBANCE, OTHER"/>
    <x v="126"/>
  </r>
  <r>
    <n v="1702495"/>
    <n v="450"/>
    <s v="DRIVING WHILE UNDER INFLUENCE (DUI)"/>
    <x v="127"/>
  </r>
  <r>
    <n v="1702496"/>
    <n v="245"/>
    <s v="DISTURBANCE, OTHER"/>
    <x v="128"/>
  </r>
  <r>
    <n v="1702497"/>
    <n v="280"/>
    <s v="SUSPICIOUS PERSON"/>
    <x v="128"/>
  </r>
  <r>
    <n v="1702498"/>
    <n v="460"/>
    <s v="TRAFFIC (MOVING) VIOLATION"/>
    <x v="129"/>
  </r>
  <r>
    <n v="1702499"/>
    <n v="161"/>
    <s v="TRESPASS"/>
    <x v="130"/>
  </r>
  <r>
    <n v="1702500"/>
    <n v="460"/>
    <s v="TRAFFIC (MOVING) VIOLATION"/>
    <x v="131"/>
  </r>
  <r>
    <n v="1702501"/>
    <n v="245"/>
    <s v="DISTURBANCE, OTHER"/>
    <x v="132"/>
  </r>
  <r>
    <n v="1702502"/>
    <n v="177"/>
    <s v="LIQUOR VIOLATION - INTOXICATED PERSON"/>
    <x v="133"/>
  </r>
  <r>
    <n v="1702503"/>
    <n v="177"/>
    <s v="LIQUOR VIOLATION - INTOXICATED PERSON"/>
    <x v="134"/>
  </r>
  <r>
    <n v="1702504"/>
    <n v="245"/>
    <s v="DISTURBANCE, OTHER"/>
    <x v="135"/>
  </r>
  <r>
    <n v="1702505"/>
    <n v="280"/>
    <s v="SUSPICIOUS PERSON"/>
    <x v="134"/>
  </r>
  <r>
    <n v="1702506"/>
    <n v="161"/>
    <s v="TRESPASS"/>
    <x v="136"/>
  </r>
  <r>
    <n v="1702507"/>
    <n v="245"/>
    <s v="DISTURBANCE, OTHER"/>
    <x v="137"/>
  </r>
  <r>
    <n v="1702508"/>
    <n v="280"/>
    <s v="SUSPICIOUS PERSON"/>
    <x v="129"/>
  </r>
  <r>
    <n v="1702509"/>
    <n v="245"/>
    <s v="DISTURBANCE, OTHER"/>
    <x v="138"/>
  </r>
  <r>
    <n v="1702510"/>
    <n v="363"/>
    <s v="MISSING PERSON"/>
    <x v="139"/>
  </r>
  <r>
    <n v="1702511"/>
    <n v="63"/>
    <s v="THEFT - CAR PROWL"/>
    <x v="140"/>
  </r>
  <r>
    <n v="1702513"/>
    <n v="280"/>
    <s v="SUSPICIOUS PERSON"/>
    <x v="136"/>
  </r>
  <r>
    <n v="1702514"/>
    <n v="40"/>
    <s v="ASSAULTS, OTHER"/>
    <x v="141"/>
  </r>
  <r>
    <n v="1702515"/>
    <n v="40"/>
    <s v="ASSAULTS, OTHER"/>
    <x v="125"/>
  </r>
  <r>
    <n v="1702516"/>
    <n v="430"/>
    <s v="MOTOR VEHICLE COLLISION"/>
    <x v="134"/>
  </r>
  <r>
    <n v="1702517"/>
    <n v="460"/>
    <s v="TRAFFIC (MOVING) VIOLATION"/>
    <x v="142"/>
  </r>
  <r>
    <n v="1702518"/>
    <n v="245"/>
    <s v="DISTURBANCE, OTHER"/>
    <x v="143"/>
  </r>
  <r>
    <n v="1702519"/>
    <n v="460"/>
    <s v="TRAFFIC (MOVING) VIOLATION"/>
    <x v="139"/>
  </r>
  <r>
    <n v="1702520"/>
    <n v="460"/>
    <s v="TRAFFIC (MOVING) VIOLATION"/>
    <x v="144"/>
  </r>
  <r>
    <n v="1702521"/>
    <n v="245"/>
    <s v="DISTURBANCE, OTHER"/>
    <x v="139"/>
  </r>
  <r>
    <n v="1702522"/>
    <n v="244"/>
    <s v="NOISE DISTURBANCE"/>
    <x v="130"/>
  </r>
  <r>
    <n v="1702523"/>
    <n v="280"/>
    <s v="SUSPICIOUS PERSON"/>
    <x v="145"/>
  </r>
  <r>
    <n v="1702524"/>
    <n v="161"/>
    <s v="TRESPASS"/>
    <x v="146"/>
  </r>
  <r>
    <n v="1702525"/>
    <n v="130"/>
    <s v="PROPERTY DESTRUCTION"/>
    <x v="147"/>
  </r>
  <r>
    <n v="1702526"/>
    <n v="245"/>
    <s v="DISTURBANCE, OTHER"/>
    <x v="148"/>
  </r>
  <r>
    <n v="1702527"/>
    <n v="280"/>
    <s v="SUSPICIOUS PERSON"/>
    <x v="145"/>
  </r>
  <r>
    <n v="1702528"/>
    <n v="184"/>
    <s v="NARCOTICS, OTHER"/>
    <x v="129"/>
  </r>
  <r>
    <n v="1702530"/>
    <n v="430"/>
    <s v="MOTOR VEHICLE COLLISION"/>
    <x v="143"/>
  </r>
  <r>
    <n v="1702531"/>
    <n v="62"/>
    <s v="BICYCLE THEFT"/>
    <x v="149"/>
  </r>
  <r>
    <n v="1702532"/>
    <n v="177"/>
    <s v="LIQUOR VIOLATION - INTOXICATED PERSON"/>
    <x v="150"/>
  </r>
  <r>
    <n v="1702533"/>
    <n v="246"/>
    <s v="NOISE DISTURBANCE, RESIDENTIAL"/>
    <x v="151"/>
  </r>
  <r>
    <n v="1702534"/>
    <n v="280"/>
    <s v="SUSPICIOUS PERSON"/>
    <x v="152"/>
  </r>
  <r>
    <n v="1702535"/>
    <n v="245"/>
    <s v="DISTURBANCE, OTHER"/>
    <x v="153"/>
  </r>
  <r>
    <n v="1702536"/>
    <n v="130"/>
    <s v="PROPERTY DESTRUCTION"/>
    <x v="154"/>
  </r>
  <r>
    <n v="1702537"/>
    <n v="350"/>
    <s v="HAZARDS"/>
    <x v="155"/>
  </r>
  <r>
    <n v="1702538"/>
    <n v="63"/>
    <s v="THEFT - CAR PROWL"/>
    <x v="156"/>
  </r>
  <r>
    <n v="1702539"/>
    <n v="41"/>
    <s v="HARASSMENT, THREATS"/>
    <x v="157"/>
  </r>
  <r>
    <n v="1702540"/>
    <n v="430"/>
    <s v="MOTOR VEHICLE COLLISION"/>
    <x v="158"/>
  </r>
  <r>
    <n v="1702541"/>
    <n v="350"/>
    <s v="HAZARDS"/>
    <x v="155"/>
  </r>
  <r>
    <n v="1702542"/>
    <n v="245"/>
    <s v="DISTURBANCE, OTHER"/>
    <x v="159"/>
  </r>
  <r>
    <n v="1702544"/>
    <n v="440"/>
    <s v="MOTORIST ASSIST"/>
    <x v="160"/>
  </r>
  <r>
    <n v="1702545"/>
    <n v="244"/>
    <s v="NOISE DISTURBANCE"/>
    <x v="161"/>
  </r>
  <r>
    <n v="1702546"/>
    <n v="460"/>
    <s v="TRAFFIC (MOVING) VIOLATION"/>
    <x v="162"/>
  </r>
  <r>
    <n v="1702547"/>
    <n v="250"/>
    <s v="MISCHIEF, NUISANCE COMPLAINTS"/>
    <x v="163"/>
  </r>
  <r>
    <n v="1702549"/>
    <n v="245"/>
    <s v="DISTURBANCE, OTHER"/>
    <x v="164"/>
  </r>
  <r>
    <n v="1702550"/>
    <n v="40"/>
    <s v="ASSAULTS, OTHER"/>
    <x v="162"/>
  </r>
  <r>
    <n v="1702551"/>
    <n v="40"/>
    <s v="ASSAULTS, OTHER"/>
    <x v="162"/>
  </r>
  <r>
    <n v="1702552"/>
    <n v="244"/>
    <s v="NOISE DISTURBANCE"/>
    <x v="165"/>
  </r>
  <r>
    <n v="1702553"/>
    <n v="430"/>
    <s v="MOTOR VEHICLE COLLISION"/>
    <x v="166"/>
  </r>
  <r>
    <n v="1702554"/>
    <n v="246"/>
    <s v="NOISE DISTURBANCE, RESIDENTIAL"/>
    <x v="167"/>
  </r>
  <r>
    <n v="1702556"/>
    <n v="31"/>
    <s v="STRONG ARM ROBBERY"/>
    <x v="168"/>
  </r>
  <r>
    <n v="1702557"/>
    <n v="30"/>
    <s v="ARMED ROBBERY"/>
    <x v="169"/>
  </r>
  <r>
    <n v="1702558"/>
    <n v="71"/>
    <s v="AUTO THEFT"/>
    <x v="170"/>
  </r>
  <r>
    <n v="1702559"/>
    <n v="430"/>
    <s v="MOTOR VEHICLE COLLISION"/>
    <x v="171"/>
  </r>
  <r>
    <n v="1702560"/>
    <n v="161"/>
    <s v="TRESPASS"/>
    <x v="172"/>
  </r>
  <r>
    <n v="1702561"/>
    <n v="71"/>
    <s v="AUTO THEFT"/>
    <x v="173"/>
  </r>
  <r>
    <n v="1702562"/>
    <n v="30"/>
    <s v="ARMED ROBBERY"/>
    <x v="174"/>
  </r>
  <r>
    <n v="1702563"/>
    <n v="280"/>
    <s v="SUSPICIOUS PERSON"/>
    <x v="175"/>
  </r>
  <r>
    <n v="1702564"/>
    <n v="202"/>
    <s v="ALACAD - COMMERCIAL PANIC (FALSE)"/>
    <x v="176"/>
  </r>
  <r>
    <n v="1702565"/>
    <n v="63"/>
    <s v="THEFT - CAR PROWL"/>
    <x v="165"/>
  </r>
  <r>
    <n v="1702566"/>
    <n v="64"/>
    <s v="SHOPLIFT"/>
    <x v="177"/>
  </r>
  <r>
    <n v="1702568"/>
    <n v="460"/>
    <s v="TRAFFIC (MOVING) VIOLATION"/>
    <x v="178"/>
  </r>
  <r>
    <n v="1702569"/>
    <n v="250"/>
    <s v="MISCHIEF, NUISANCE COMPLAINTS"/>
    <x v="179"/>
  </r>
  <r>
    <n v="1702570"/>
    <n v="260"/>
    <s v="ANIMALS - INJURED, DEAD, DANGEROUS"/>
    <x v="179"/>
  </r>
  <r>
    <n v="1702571"/>
    <n v="245"/>
    <s v="DISTURBANCE, OTHER"/>
    <x v="180"/>
  </r>
  <r>
    <n v="1702572"/>
    <n v="372"/>
    <s v="PROPERTY - FOUND (FOLLOW UP TO SPD CASE)"/>
    <x v="181"/>
  </r>
  <r>
    <n v="1702573"/>
    <n v="200"/>
    <s v="ALACAD - COMMERCIAL BURGLARY (FALSE)"/>
    <x v="182"/>
  </r>
  <r>
    <n v="1702574"/>
    <n v="177"/>
    <s v="LIQUOR VIOLATION - INTOXICATED PERSON"/>
    <x v="183"/>
  </r>
  <r>
    <n v="1702575"/>
    <n v="161"/>
    <s v="TRESPASS"/>
    <x v="184"/>
  </r>
  <r>
    <n v="1702576"/>
    <n v="200"/>
    <s v="ALACAD - COMMERCIAL BURGLARY (FALSE)"/>
    <x v="185"/>
  </r>
  <r>
    <n v="1702577"/>
    <n v="244"/>
    <s v="NOISE DISTURBANCE"/>
    <x v="185"/>
  </r>
  <r>
    <n v="1702578"/>
    <n v="281"/>
    <s v="SUSPICIOUS VEHICLE"/>
    <x v="186"/>
  </r>
  <r>
    <n v="1702579"/>
    <n v="280"/>
    <s v="SUSPICIOUS PERSON"/>
    <x v="187"/>
  </r>
  <r>
    <n v="1702580"/>
    <n v="245"/>
    <s v="DISTURBANCE, OTHER"/>
    <x v="188"/>
  </r>
  <r>
    <n v="1702581"/>
    <n v="281"/>
    <s v="SUSPICIOUS VEHICLE"/>
    <x v="189"/>
  </r>
  <r>
    <n v="1702583"/>
    <n v="246"/>
    <s v="NOISE DISTURBANCE, RESIDENTIAL"/>
    <x v="190"/>
  </r>
  <r>
    <n v="1702584"/>
    <n v="430"/>
    <s v="MOTOR VEHICLE COLLISION"/>
    <x v="191"/>
  </r>
  <r>
    <n v="1702585"/>
    <n v="430"/>
    <s v="MOTOR VEHICLE COLLISION"/>
    <x v="185"/>
  </r>
  <r>
    <n v="1702586"/>
    <n v="470"/>
    <s v="PARKING VIOLATION (EXCEPT ABANDONED VEHICLES)"/>
    <x v="192"/>
  </r>
  <r>
    <n v="1702587"/>
    <n v="372"/>
    <s v="PROPERTY - FOUND (FOLLOW UP TO SPD CASE)"/>
    <x v="184"/>
  </r>
  <r>
    <n v="1702588"/>
    <n v="250"/>
    <s v="MISCHIEF, NUISANCE COMPLAINTS"/>
    <x v="193"/>
  </r>
  <r>
    <n v="1702589"/>
    <n v="245"/>
    <s v="DISTURBANCE, OTHER"/>
    <x v="188"/>
  </r>
  <r>
    <n v="1702590"/>
    <n v="245"/>
    <s v="DISTURBANCE, OTHER"/>
    <x v="194"/>
  </r>
  <r>
    <n v="1702591"/>
    <n v="450"/>
    <s v="DRIVING WHILE UNDER INFLUENCE (DUI)"/>
    <x v="188"/>
  </r>
  <r>
    <n v="1702592"/>
    <n v="201"/>
    <s v="ALACAD - RESIDENTIAL BURGLARY (FALSE)"/>
    <x v="194"/>
  </r>
  <r>
    <n v="1702593"/>
    <n v="245"/>
    <s v="DISTURBANCE, OTHER"/>
    <x v="195"/>
  </r>
  <r>
    <n v="1702594"/>
    <n v="139"/>
    <s v="GANG GRAFFITI"/>
    <x v="196"/>
  </r>
  <r>
    <n v="1702595"/>
    <n v="65"/>
    <s v="THEFT - MISCELLANEOUS"/>
    <x v="196"/>
  </r>
  <r>
    <n v="1702596"/>
    <n v="63"/>
    <s v="THEFT - CAR PROWL"/>
    <x v="197"/>
  </r>
  <r>
    <n v="1702597"/>
    <n v="280"/>
    <s v="SUSPICIOUS PERSON"/>
    <x v="198"/>
  </r>
  <r>
    <n v="1702598"/>
    <n v="280"/>
    <s v="SUSPICIOUS PERSON"/>
    <x v="193"/>
  </r>
  <r>
    <n v="1702599"/>
    <n v="470"/>
    <s v="PARKING VIOLATION (EXCEPT ABANDONED VEHICLES)"/>
    <x v="197"/>
  </r>
  <r>
    <n v="1702600"/>
    <n v="220"/>
    <s v="CRISIS COMPLAINT - GENERAL"/>
    <x v="167"/>
  </r>
  <r>
    <n v="1702601"/>
    <n v="64"/>
    <s v="SHOPLIFT"/>
    <x v="199"/>
  </r>
  <r>
    <n v="1702602"/>
    <n v="64"/>
    <s v="SHOPLIFT"/>
    <x v="200"/>
  </r>
  <r>
    <n v="1702603"/>
    <n v="177"/>
    <s v="LIQUOR VIOLATION - INTOXICATED PERSON"/>
    <x v="201"/>
  </r>
  <r>
    <n v="1702604"/>
    <n v="177"/>
    <s v="LIQUOR VIOLATION - INTOXICATED PERSON"/>
    <x v="202"/>
  </r>
  <r>
    <n v="1702605"/>
    <n v="280"/>
    <s v="SUSPICIOUS PERSON"/>
    <x v="202"/>
  </r>
  <r>
    <n v="1702606"/>
    <n v="430"/>
    <s v="MOTOR VEHICLE COLLISION"/>
    <x v="195"/>
  </r>
  <r>
    <n v="1702607"/>
    <n v="245"/>
    <s v="DISTURBANCE, OTHER"/>
    <x v="202"/>
  </r>
  <r>
    <n v="1702608"/>
    <n v="245"/>
    <s v="DISTURBANCE, OTHER"/>
    <x v="203"/>
  </r>
  <r>
    <n v="1702609"/>
    <n v="200"/>
    <s v="ALACAD - COMMERCIAL BURGLARY (FALSE)"/>
    <x v="202"/>
  </r>
  <r>
    <n v="1702610"/>
    <n v="245"/>
    <s v="DISTURBANCE, OTHER"/>
    <x v="204"/>
  </r>
  <r>
    <n v="1702611"/>
    <n v="64"/>
    <s v="SHOPLIFT"/>
    <x v="202"/>
  </r>
  <r>
    <n v="1702612"/>
    <n v="65"/>
    <s v="THEFT - MISCELLANEOUS"/>
    <x v="198"/>
  </r>
  <r>
    <n v="1702613"/>
    <n v="245"/>
    <s v="DISTURBANCE, OTHER"/>
    <x v="195"/>
  </r>
  <r>
    <n v="1702614"/>
    <n v="130"/>
    <s v="PROPERTY DESTRUCTION"/>
    <x v="205"/>
  </r>
  <r>
    <n v="1702615"/>
    <n v="245"/>
    <s v="DISTURBANCE, OTHER"/>
    <x v="206"/>
  </r>
  <r>
    <n v="1702617"/>
    <n v="177"/>
    <s v="LIQUOR VIOLATION - INTOXICATED PERSON"/>
    <x v="207"/>
  </r>
  <r>
    <n v="1702618"/>
    <n v="250"/>
    <s v="MISCHIEF, NUISANCE COMPLAINTS"/>
    <x v="208"/>
  </r>
  <r>
    <n v="1702619"/>
    <n v="161"/>
    <s v="TRESPASS"/>
    <x v="209"/>
  </r>
  <r>
    <n v="1702620"/>
    <n v="161"/>
    <s v="TRESPASS"/>
    <x v="210"/>
  </r>
  <r>
    <n v="1702621"/>
    <n v="470"/>
    <s v="PARKING VIOLATION (EXCEPT ABANDONED VEHICLES)"/>
    <x v="211"/>
  </r>
  <r>
    <n v="1702622"/>
    <n v="74"/>
    <s v="LICENSE PLATE THEFT OR LOSS"/>
    <x v="210"/>
  </r>
  <r>
    <n v="1702623"/>
    <n v="31"/>
    <s v="STRONG ARM ROBBERY"/>
    <x v="212"/>
  </r>
  <r>
    <n v="1702624"/>
    <n v="281"/>
    <s v="SUSPICIOUS VEHICLE"/>
    <x v="213"/>
  </r>
  <r>
    <n v="1702625"/>
    <n v="281"/>
    <s v="SUSPICIOUS VEHICLE"/>
    <x v="214"/>
  </r>
  <r>
    <n v="1702626"/>
    <n v="177"/>
    <s v="LIQUOR VIOLATION - INTOXICATED PERSON"/>
    <x v="215"/>
  </r>
  <r>
    <n v="1702627"/>
    <n v="460"/>
    <s v="TRAFFIC (MOVING) VIOLATION"/>
    <x v="216"/>
  </r>
  <r>
    <n v="1702628"/>
    <n v="177"/>
    <s v="LIQUOR VIOLATION - INTOXICATED PERSON"/>
    <x v="217"/>
  </r>
  <r>
    <n v="1702629"/>
    <n v="245"/>
    <s v="DISTURBANCE, OTHER"/>
    <x v="218"/>
  </r>
  <r>
    <n v="1702630"/>
    <n v="245"/>
    <s v="DISTURBANCE, OTHER"/>
    <x v="219"/>
  </r>
  <r>
    <n v="1702631"/>
    <n v="281"/>
    <s v="SUSPICIOUS VEHICLE"/>
    <x v="220"/>
  </r>
  <r>
    <n v="1702632"/>
    <n v="181"/>
    <s v="NARCOTICS ACTIVITY REPORT"/>
    <x v="220"/>
  </r>
  <r>
    <n v="1702633"/>
    <n v="244"/>
    <s v="NOISE DISTURBANCE"/>
    <x v="221"/>
  </r>
  <r>
    <n v="1702634"/>
    <n v="244"/>
    <s v="NOISE DISTURBANCE"/>
    <x v="218"/>
  </r>
  <r>
    <n v="1702635"/>
    <n v="430"/>
    <s v="MOTOR VEHICLE COLLISION"/>
    <x v="222"/>
  </r>
  <r>
    <n v="1702636"/>
    <n v="460"/>
    <s v="TRAFFIC (MOVING) VIOLATION"/>
    <x v="223"/>
  </r>
  <r>
    <n v="1702637"/>
    <n v="177"/>
    <s v="LIQUOR VIOLATION - INTOXICATED PERSON"/>
    <x v="224"/>
  </r>
  <r>
    <n v="1702638"/>
    <n v="460"/>
    <s v="TRAFFIC (MOVING) VIOLATION"/>
    <x v="225"/>
  </r>
  <r>
    <n v="1702639"/>
    <n v="245"/>
    <s v="DISTURBANCE, OTHER"/>
    <x v="226"/>
  </r>
  <r>
    <n v="1702640"/>
    <n v="177"/>
    <s v="LIQUOR VIOLATION - INTOXICATED PERSON"/>
    <x v="214"/>
  </r>
  <r>
    <n v="1702641"/>
    <n v="280"/>
    <s v="SUSPICIOUS PERSON"/>
    <x v="227"/>
  </r>
  <r>
    <n v="1702642"/>
    <n v="244"/>
    <s v="NOISE DISTURBANCE"/>
    <x v="228"/>
  </r>
  <r>
    <n v="1702643"/>
    <n v="245"/>
    <s v="DISTURBANCE, OTHER"/>
    <x v="227"/>
  </r>
  <r>
    <n v="1702644"/>
    <n v="100"/>
    <s v="FRAUD (INCLUDING IDENTITY THEFT)"/>
    <x v="229"/>
  </r>
  <r>
    <n v="1702645"/>
    <n v="177"/>
    <s v="LIQUOR VIOLATION - INTOXICATED PERSON"/>
    <x v="230"/>
  </r>
  <r>
    <n v="1702646"/>
    <n v="460"/>
    <s v="TRAFFIC (MOVING) VIOLATION"/>
    <x v="231"/>
  </r>
  <r>
    <n v="1702647"/>
    <n v="245"/>
    <s v="DISTURBANCE, OTHER"/>
    <x v="232"/>
  </r>
  <r>
    <n v="1702648"/>
    <n v="440"/>
    <s v="MOTORIST ASSIST"/>
    <x v="233"/>
  </r>
  <r>
    <n v="1702649"/>
    <n v="280"/>
    <s v="SUSPICIOUS PERSON"/>
    <x v="234"/>
  </r>
  <r>
    <n v="1702650"/>
    <n v="460"/>
    <s v="TRAFFIC (MOVING) VIOLATION"/>
    <x v="235"/>
  </r>
  <r>
    <n v="1702651"/>
    <n v="242"/>
    <s v="FIGHT DISTURBANCE"/>
    <x v="236"/>
  </r>
  <r>
    <n v="1702652"/>
    <n v="460"/>
    <s v="TRAFFIC (MOVING) VIOLATION"/>
    <x v="237"/>
  </r>
  <r>
    <n v="1702653"/>
    <n v="460"/>
    <s v="TRAFFIC (MOVING) VIOLATION"/>
    <x v="238"/>
  </r>
  <r>
    <n v="1702654"/>
    <n v="245"/>
    <s v="DISTURBANCE, OTHER"/>
    <x v="239"/>
  </r>
  <r>
    <n v="1702655"/>
    <n v="245"/>
    <s v="DISTURBANCE, OTHER"/>
    <x v="240"/>
  </r>
  <r>
    <n v="1702656"/>
    <n v="130"/>
    <s v="PROPERTY DESTRUCTION"/>
    <x v="240"/>
  </r>
  <r>
    <n v="1702657"/>
    <n v="64"/>
    <s v="SHOPLIFT"/>
    <x v="237"/>
  </r>
  <r>
    <n v="1702658"/>
    <n v="161"/>
    <s v="TRESPASS"/>
    <x v="241"/>
  </r>
  <r>
    <n v="1702659"/>
    <n v="201"/>
    <s v="ALACAD - RESIDENTIAL BURGLARY (FALSE)"/>
    <x v="242"/>
  </r>
  <r>
    <n v="1702660"/>
    <n v="244"/>
    <s v="NOISE DISTURBANCE"/>
    <x v="243"/>
  </r>
  <r>
    <n v="1702661"/>
    <n v="430"/>
    <s v="MOTOR VEHICLE COLLISION"/>
    <x v="243"/>
  </r>
  <r>
    <n v="1702662"/>
    <n v="65"/>
    <s v="THEFT - MISCELLANEOUS"/>
    <x v="163"/>
  </r>
  <r>
    <n v="1702663"/>
    <n v="201"/>
    <s v="ALACAD - RESIDENTIAL BURGLARY (FALSE)"/>
    <x v="244"/>
  </r>
  <r>
    <n v="1702664"/>
    <n v="245"/>
    <s v="DISTURBANCE, OTHER"/>
    <x v="245"/>
  </r>
  <r>
    <n v="1702665"/>
    <n v="245"/>
    <s v="DISTURBANCE, OTHER"/>
    <x v="246"/>
  </r>
  <r>
    <n v="1702666"/>
    <n v="245"/>
    <s v="DISTURBANCE, OTHER"/>
    <x v="247"/>
  </r>
  <r>
    <n v="1702667"/>
    <n v="460"/>
    <s v="TRAFFIC (MOVING) VIOLATION"/>
    <x v="248"/>
  </r>
  <r>
    <n v="1702668"/>
    <n v="460"/>
    <s v="TRAFFIC (MOVING) VIOLATION"/>
    <x v="248"/>
  </r>
  <r>
    <n v="1702669"/>
    <n v="220"/>
    <s v="CRISIS COMPLAINT - GENERAL"/>
    <x v="249"/>
  </r>
  <r>
    <n v="1702670"/>
    <n v="40"/>
    <s v="ASSAULTS, OTHER"/>
    <x v="248"/>
  </r>
  <r>
    <n v="1702671"/>
    <n v="460"/>
    <s v="TRAFFIC (MOVING) VIOLATION"/>
    <x v="250"/>
  </r>
  <r>
    <n v="1702672"/>
    <n v="460"/>
    <s v="TRAFFIC (MOVING) VIOLATION"/>
    <x v="251"/>
  </r>
  <r>
    <n v="1702673"/>
    <n v="245"/>
    <s v="DISTURBANCE, OTHER"/>
    <x v="252"/>
  </r>
  <r>
    <n v="1702674"/>
    <n v="63"/>
    <s v="THEFT - CAR PROWL"/>
    <x v="253"/>
  </r>
  <r>
    <n v="1702675"/>
    <n v="130"/>
    <s v="PROPERTY DESTRUCTION"/>
    <x v="250"/>
  </r>
  <r>
    <n v="1702676"/>
    <n v="245"/>
    <s v="DISTURBANCE, OTHER"/>
    <x v="254"/>
  </r>
  <r>
    <n v="1702677"/>
    <n v="246"/>
    <s v="NOISE DISTURBANCE, RESIDENTIAL"/>
    <x v="254"/>
  </r>
  <r>
    <n v="1702678"/>
    <n v="63"/>
    <s v="THEFT - CAR PROWL"/>
    <x v="255"/>
  </r>
  <r>
    <n v="1702679"/>
    <n v="430"/>
    <s v="MOTOR VEHICLE COLLISION"/>
    <x v="256"/>
  </r>
  <r>
    <n v="1702680"/>
    <n v="177"/>
    <s v="LIQUOR VIOLATION - INTOXICATED PERSON"/>
    <x v="257"/>
  </r>
  <r>
    <n v="1702681"/>
    <n v="73"/>
    <s v="AUTO RECOVERY"/>
    <x v="258"/>
  </r>
  <r>
    <n v="1702682"/>
    <n v="281"/>
    <s v="SUSPICIOUS VEHICLE"/>
    <x v="259"/>
  </r>
  <r>
    <n v="1702684"/>
    <n v="430"/>
    <s v="MOTOR VEHICLE COLLISION"/>
    <x v="260"/>
  </r>
  <r>
    <n v="1702685"/>
    <n v="30"/>
    <s v="ARMED ROBBERY"/>
    <x v="259"/>
  </r>
  <r>
    <n v="1702686"/>
    <n v="245"/>
    <s v="DISTURBANCE, OTHER"/>
    <x v="261"/>
  </r>
  <r>
    <n v="1702687"/>
    <n v="201"/>
    <s v="ALACAD - RESIDENTIAL BURGLARY (FALSE)"/>
    <x v="262"/>
  </r>
  <r>
    <n v="1702688"/>
    <n v="281"/>
    <s v="SUSPICIOUS VEHICLE"/>
    <x v="263"/>
  </r>
  <r>
    <n v="1702689"/>
    <n v="246"/>
    <s v="NOISE DISTURBANCE, RESIDENTIAL"/>
    <x v="264"/>
  </r>
  <r>
    <n v="1702690"/>
    <n v="200"/>
    <s v="ALACAD - COMMERCIAL BURGLARY (FALSE)"/>
    <x v="265"/>
  </r>
  <r>
    <n v="1702691"/>
    <n v="430"/>
    <s v="MOTOR VEHICLE COLLISION"/>
    <x v="266"/>
  </r>
  <r>
    <n v="1702692"/>
    <n v="281"/>
    <s v="SUSPICIOUS VEHICLE"/>
    <x v="267"/>
  </r>
  <r>
    <n v="1702693"/>
    <n v="280"/>
    <s v="SUSPICIOUS PERSON"/>
    <x v="268"/>
  </r>
  <r>
    <n v="1702694"/>
    <n v="220"/>
    <s v="CRISIS COMPLAINT - GENERAL"/>
    <x v="269"/>
  </r>
  <r>
    <n v="1702695"/>
    <n v="450"/>
    <s v="DRIVING WHILE UNDER INFLUENCE (DUI)"/>
    <x v="270"/>
  </r>
  <r>
    <n v="1702696"/>
    <n v="161"/>
    <s v="TRESPASS"/>
    <x v="271"/>
  </r>
  <r>
    <n v="1702697"/>
    <n v="40"/>
    <s v="ASSAULTS, OTHER"/>
    <x v="272"/>
  </r>
  <r>
    <n v="1702698"/>
    <n v="280"/>
    <s v="SUSPICIOUS PERSON"/>
    <x v="272"/>
  </r>
  <r>
    <n v="1702699"/>
    <n v="130"/>
    <s v="PROPERTY DESTRUCTION"/>
    <x v="273"/>
  </r>
  <r>
    <n v="1702700"/>
    <n v="201"/>
    <s v="ALACAD - RESIDENTIAL BURGLARY (FALSE)"/>
    <x v="274"/>
  </r>
  <r>
    <n v="1702701"/>
    <n v="245"/>
    <s v="DISTURBANCE, OTHER"/>
    <x v="275"/>
  </r>
  <r>
    <n v="1702702"/>
    <n v="184"/>
    <s v="NARCOTICS, OTHER"/>
    <x v="276"/>
  </r>
  <r>
    <n v="1702703"/>
    <n v="280"/>
    <s v="SUSPICIOUS PERSON"/>
    <x v="277"/>
  </r>
  <r>
    <n v="1702704"/>
    <n v="52"/>
    <s v="BURGLARY - COMMERCIAL"/>
    <x v="277"/>
  </r>
  <r>
    <n v="1702705"/>
    <n v="177"/>
    <s v="LIQUOR VIOLATION - INTOXICATED PERSON"/>
    <x v="278"/>
  </r>
  <r>
    <n v="1702706"/>
    <n v="250"/>
    <s v="MISCHIEF, NUISANCE COMPLAINTS"/>
    <x v="279"/>
  </r>
  <r>
    <n v="1702707"/>
    <n v="280"/>
    <s v="SUSPICIOUS PERSON"/>
    <x v="280"/>
  </r>
  <r>
    <n v="1702708"/>
    <n v="242"/>
    <s v="FIGHT DISTURBANCE"/>
    <x v="281"/>
  </r>
  <r>
    <n v="1702709"/>
    <n v="40"/>
    <s v="ASSAULTS, OTHER"/>
    <x v="279"/>
  </r>
  <r>
    <n v="1702710"/>
    <n v="280"/>
    <s v="SUSPICIOUS PERSON"/>
    <x v="282"/>
  </r>
  <r>
    <n v="1702712"/>
    <n v="350"/>
    <s v="HAZARDS"/>
    <x v="283"/>
  </r>
  <r>
    <n v="1702713"/>
    <n v="201"/>
    <s v="ALACAD - RESIDENTIAL BURGLARY (FALSE)"/>
    <x v="284"/>
  </r>
  <r>
    <n v="1702714"/>
    <n v="245"/>
    <s v="DISTURBANCE, OTHER"/>
    <x v="285"/>
  </r>
  <r>
    <n v="1702715"/>
    <n v="282"/>
    <s v="SUSPICIOUS CIRCUMSTANCES - BUILDING (OPEN DOOR, ETC.)"/>
    <x v="286"/>
  </r>
  <r>
    <n v="1702716"/>
    <n v="245"/>
    <s v="DISTURBANCE, OTHER"/>
    <x v="287"/>
  </r>
  <r>
    <n v="1702717"/>
    <n v="177"/>
    <s v="LIQUOR VIOLATION - INTOXICATED PERSON"/>
    <x v="288"/>
  </r>
  <r>
    <n v="1702718"/>
    <n v="74"/>
    <s v="LICENSE PLATE THEFT OR LOSS"/>
    <x v="289"/>
  </r>
  <r>
    <n v="1702719"/>
    <n v="161"/>
    <s v="TRESPASS"/>
    <x v="290"/>
  </r>
  <r>
    <n v="1702720"/>
    <n v="141"/>
    <s v="LEWD CONDUCT"/>
    <x v="291"/>
  </r>
  <r>
    <n v="1702721"/>
    <n v="71"/>
    <s v="AUTO THEFT"/>
    <x v="131"/>
  </r>
  <r>
    <n v="1702722"/>
    <n v="220"/>
    <s v="CRISIS COMPLAINT - GENERAL"/>
    <x v="292"/>
  </r>
  <r>
    <n v="1702723"/>
    <n v="245"/>
    <s v="DISTURBANCE, OTHER"/>
    <x v="293"/>
  </r>
  <r>
    <n v="1702724"/>
    <n v="245"/>
    <s v="DISTURBANCE, OTHER"/>
    <x v="294"/>
  </r>
  <r>
    <n v="1702725"/>
    <n v="201"/>
    <s v="ALACAD - RESIDENTIAL BURGLARY (FALSE)"/>
    <x v="295"/>
  </r>
  <r>
    <n v="1702726"/>
    <n v="63"/>
    <s v="THEFT - CAR PROWL"/>
    <x v="296"/>
  </r>
  <r>
    <n v="1702727"/>
    <n v="192"/>
    <s v="MISDEMEANOR WARRANT SERVICE"/>
    <x v="297"/>
  </r>
  <r>
    <n v="1702728"/>
    <n v="200"/>
    <s v="ALACAD - COMMERCIAL BURGLARY (FALSE)"/>
    <x v="298"/>
  </r>
  <r>
    <n v="1702729"/>
    <n v="430"/>
    <s v="MOTOR VEHICLE COLLISION"/>
    <x v="299"/>
  </r>
  <r>
    <n v="1702731"/>
    <n v="430"/>
    <s v="MOTOR VEHICLE COLLISION"/>
    <x v="298"/>
  </r>
  <r>
    <n v="1702732"/>
    <n v="200"/>
    <s v="ALACAD - COMMERCIAL BURGLARY (FALSE)"/>
    <x v="300"/>
  </r>
  <r>
    <n v="1702733"/>
    <n v="201"/>
    <s v="ALACAD - RESIDENTIAL BURGLARY (FALSE)"/>
    <x v="301"/>
  </r>
  <r>
    <n v="1702734"/>
    <n v="50"/>
    <s v="BURGLARY - RESIDENTIAL, UNOCCUPIED"/>
    <x v="302"/>
  </r>
  <r>
    <n v="1702735"/>
    <n v="161"/>
    <s v="TRESPASS"/>
    <x v="303"/>
  </r>
  <r>
    <n v="1702736"/>
    <n v="220"/>
    <s v="CRISIS COMPLAINT - GENERAL"/>
    <x v="304"/>
  </r>
  <r>
    <n v="1702737"/>
    <n v="460"/>
    <s v="TRAFFIC (MOVING) VIOLATION"/>
    <x v="305"/>
  </r>
  <r>
    <n v="1702738"/>
    <n v="245"/>
    <s v="DISTURBANCE, OTHER"/>
    <x v="306"/>
  </r>
  <r>
    <n v="1702739"/>
    <n v="280"/>
    <s v="SUSPICIOUS PERSON"/>
    <x v="307"/>
  </r>
  <r>
    <n v="1702740"/>
    <n v="281"/>
    <s v="SUSPICIOUS VEHICLE"/>
    <x v="308"/>
  </r>
  <r>
    <n v="1702741"/>
    <n v="280"/>
    <s v="SUSPICIOUS PERSON"/>
    <x v="309"/>
  </r>
  <r>
    <n v="1702742"/>
    <n v="71"/>
    <s v="AUTO THEFT"/>
    <x v="310"/>
  </r>
  <r>
    <n v="1702743"/>
    <n v="282"/>
    <s v="SUSPICIOUS CIRCUMSTANCES - BUILDING (OPEN DOOR, ETC.)"/>
    <x v="311"/>
  </r>
  <r>
    <n v="1702744"/>
    <n v="220"/>
    <s v="CRISIS COMPLAINT - GENERAL"/>
    <x v="312"/>
  </r>
  <r>
    <n v="1702745"/>
    <n v="450"/>
    <s v="DRIVING WHILE UNDER INFLUENCE (DUI)"/>
    <x v="313"/>
  </r>
  <r>
    <n v="1702746"/>
    <n v="203"/>
    <s v="ALACAD - RESIDENTIAL PANIC (FALSE)"/>
    <x v="314"/>
  </r>
  <r>
    <n v="1702747"/>
    <n v="245"/>
    <s v="DISTURBANCE, OTHER"/>
    <x v="315"/>
  </r>
  <r>
    <n v="1702748"/>
    <n v="245"/>
    <s v="DISTURBANCE, OTHER"/>
    <x v="316"/>
  </r>
  <r>
    <n v="1702749"/>
    <n v="202"/>
    <s v="ALACAD - COMMERCIAL PANIC (FALSE)"/>
    <x v="317"/>
  </r>
  <r>
    <n v="1702750"/>
    <n v="245"/>
    <s v="DISTURBANCE, OTHER"/>
    <x v="318"/>
  </r>
  <r>
    <n v="1702751"/>
    <n v="250"/>
    <s v="MISCHIEF, NUISANCE COMPLAINTS"/>
    <x v="319"/>
  </r>
  <r>
    <n v="1702752"/>
    <n v="201"/>
    <s v="ALACAD - RESIDENTIAL BURGLARY (FALSE)"/>
    <x v="320"/>
  </r>
  <r>
    <n v="1702753"/>
    <n v="161"/>
    <s v="TRESPASS"/>
    <x v="321"/>
  </r>
  <r>
    <n v="1702754"/>
    <n v="201"/>
    <s v="ALACAD - RESIDENTIAL BURGLARY (FALSE)"/>
    <x v="322"/>
  </r>
  <r>
    <n v="1702755"/>
    <n v="63"/>
    <s v="THEFT - CAR PROWL"/>
    <x v="322"/>
  </r>
  <r>
    <n v="1702756"/>
    <n v="161"/>
    <s v="TRESPASS"/>
    <x v="323"/>
  </r>
  <r>
    <n v="1702757"/>
    <n v="63"/>
    <s v="THEFT - CAR PROWL"/>
    <x v="324"/>
  </r>
  <r>
    <n v="1702758"/>
    <n v="280"/>
    <s v="SUSPICIOUS PERSON"/>
    <x v="325"/>
  </r>
  <r>
    <n v="1702759"/>
    <n v="470"/>
    <s v="PARKING VIOLATION (EXCEPT ABANDONED VEHICLES)"/>
    <x v="326"/>
  </r>
  <r>
    <n v="1702760"/>
    <n v="280"/>
    <s v="SUSPICIOUS PERSON"/>
    <x v="325"/>
  </r>
  <r>
    <n v="1702761"/>
    <n v="280"/>
    <s v="SUSPICIOUS PERSON"/>
    <x v="327"/>
  </r>
  <r>
    <n v="1702762"/>
    <n v="460"/>
    <s v="TRAFFIC (MOVING) VIOLATION"/>
    <x v="328"/>
  </r>
  <r>
    <n v="1702763"/>
    <n v="161"/>
    <s v="TRESPASS"/>
    <x v="329"/>
  </r>
  <r>
    <n v="1702764"/>
    <n v="280"/>
    <s v="SUSPICIOUS PERSON"/>
    <x v="330"/>
  </r>
  <r>
    <n v="1702765"/>
    <n v="281"/>
    <s v="SUSPICIOUS VEHICLE"/>
    <x v="331"/>
  </r>
  <r>
    <n v="1702766"/>
    <n v="460"/>
    <s v="TRAFFIC (MOVING) VIOLATION"/>
    <x v="332"/>
  </r>
  <r>
    <n v="1702767"/>
    <n v="470"/>
    <s v="PARKING VIOLATION (EXCEPT ABANDONED VEHICLES)"/>
    <x v="333"/>
  </r>
  <r>
    <n v="1702768"/>
    <n v="460"/>
    <s v="TRAFFIC (MOVING) VIOLATION"/>
    <x v="334"/>
  </r>
  <r>
    <n v="1702769"/>
    <n v="161"/>
    <s v="TRESPASS"/>
    <x v="333"/>
  </r>
  <r>
    <n v="1702770"/>
    <n v="440"/>
    <s v="MOTORIST ASSIST"/>
    <x v="335"/>
  </r>
  <r>
    <n v="1702771"/>
    <n v="161"/>
    <s v="TRESPASS"/>
    <x v="336"/>
  </r>
  <r>
    <n v="1702772"/>
    <n v="280"/>
    <s v="SUSPICIOUS PERSON"/>
    <x v="332"/>
  </r>
  <r>
    <n v="1702773"/>
    <n v="220"/>
    <s v="CRISIS COMPLAINT - GENERAL"/>
    <x v="337"/>
  </r>
  <r>
    <n v="1702774"/>
    <n v="161"/>
    <s v="TRESPASS"/>
    <x v="338"/>
  </r>
  <r>
    <n v="1702775"/>
    <n v="281"/>
    <s v="SUSPICIOUS VEHICLE"/>
    <x v="338"/>
  </r>
  <r>
    <n v="1702776"/>
    <n v="201"/>
    <s v="ALACAD - RESIDENTIAL BURGLARY (FALSE)"/>
    <x v="339"/>
  </r>
  <r>
    <n v="1702777"/>
    <n v="161"/>
    <s v="TRESPASS"/>
    <x v="340"/>
  </r>
  <r>
    <n v="1702778"/>
    <n v="245"/>
    <s v="DISTURBANCE, OTHER"/>
    <x v="341"/>
  </r>
  <r>
    <n v="1702779"/>
    <n v="242"/>
    <s v="FIGHT DISTURBANCE"/>
    <x v="342"/>
  </r>
  <r>
    <n v="1702780"/>
    <n v="245"/>
    <s v="DISTURBANCE, OTHER"/>
    <x v="343"/>
  </r>
  <r>
    <n v="1702781"/>
    <n v="245"/>
    <s v="DISTURBANCE, OTHER"/>
    <x v="344"/>
  </r>
  <r>
    <n v="1702782"/>
    <n v="201"/>
    <s v="ALACAD - RESIDENTIAL BURGLARY (FALSE)"/>
    <x v="345"/>
  </r>
  <r>
    <n v="1702783"/>
    <n v="40"/>
    <s v="ASSAULTS, OTHER"/>
    <x v="346"/>
  </r>
  <r>
    <n v="1702784"/>
    <n v="161"/>
    <s v="TRESPASS"/>
    <x v="347"/>
  </r>
  <r>
    <n v="1702785"/>
    <n v="470"/>
    <s v="PARKING VIOLATION (EXCEPT ABANDONED VEHICLES)"/>
    <x v="348"/>
  </r>
  <r>
    <n v="1702786"/>
    <n v="40"/>
    <s v="ASSAULTS, OTHER"/>
    <x v="349"/>
  </r>
  <r>
    <n v="1702787"/>
    <n v="330"/>
    <s v="CASUALTY (NON CRIMINAL/TRAFFIC) - MAN DOWN, SICK PERSONS, INJURED, DOA)"/>
    <x v="350"/>
  </r>
  <r>
    <n v="1702788"/>
    <n v="203"/>
    <s v="ALACAD - RESIDENTIAL PANIC (FALSE)"/>
    <x v="351"/>
  </r>
  <r>
    <n v="1702789"/>
    <n v="280"/>
    <s v="SUSPICIOUS PERSON"/>
    <x v="352"/>
  </r>
  <r>
    <n v="1702790"/>
    <n v="65"/>
    <s v="THEFT - MISCELLANEOUS"/>
    <x v="352"/>
  </r>
  <r>
    <n v="1702791"/>
    <n v="30"/>
    <s v="ARMED ROBBERY"/>
    <x v="353"/>
  </r>
  <r>
    <n v="1702792"/>
    <n v="161"/>
    <s v="TRESPASS"/>
    <x v="354"/>
  </r>
  <r>
    <n v="1702793"/>
    <n v="460"/>
    <s v="TRAFFIC (MOVING) VIOLATION"/>
    <x v="355"/>
  </r>
  <r>
    <n v="1702794"/>
    <n v="350"/>
    <s v="HAZARDS"/>
    <x v="356"/>
  </r>
  <r>
    <n v="1702795"/>
    <n v="200"/>
    <s v="ALACAD - COMMERCIAL BURGLARY (FALSE)"/>
    <x v="357"/>
  </r>
  <r>
    <n v="1702796"/>
    <n v="200"/>
    <s v="ALACAD - COMMERCIAL BURGLARY (FALSE)"/>
    <x v="358"/>
  </r>
  <r>
    <n v="1702797"/>
    <n v="130"/>
    <s v="PROPERTY DESTRUCTION"/>
    <x v="359"/>
  </r>
  <r>
    <n v="1702798"/>
    <n v="245"/>
    <s v="DISTURBANCE, OTHER"/>
    <x v="360"/>
  </r>
  <r>
    <n v="1702799"/>
    <n v="161"/>
    <s v="TRESPASS"/>
    <x v="361"/>
  </r>
  <r>
    <n v="1702800"/>
    <n v="460"/>
    <s v="TRAFFIC (MOVING) VIOLATION"/>
    <x v="362"/>
  </r>
  <r>
    <n v="1702801"/>
    <n v="40"/>
    <s v="ASSAULTS, OTHER"/>
    <x v="363"/>
  </r>
  <r>
    <n v="1702802"/>
    <n v="280"/>
    <s v="SUSPICIOUS PERSON"/>
    <x v="357"/>
  </r>
  <r>
    <n v="1702803"/>
    <n v="430"/>
    <s v="MOTOR VEHICLE COLLISION"/>
    <x v="364"/>
  </r>
  <r>
    <n v="1702804"/>
    <n v="372"/>
    <s v="PROPERTY - FOUND (FOLLOW UP TO SPD CASE)"/>
    <x v="365"/>
  </r>
  <r>
    <n v="1702805"/>
    <n v="280"/>
    <s v="SUSPICIOUS PERSON"/>
    <x v="366"/>
  </r>
  <r>
    <n v="1702806"/>
    <n v="372"/>
    <s v="PROPERTY - FOUND (FOLLOW UP TO SPD CASE)"/>
    <x v="367"/>
  </r>
  <r>
    <n v="1702807"/>
    <n v="245"/>
    <s v="DISTURBANCE, OTHER"/>
    <x v="368"/>
  </r>
  <r>
    <n v="1702808"/>
    <n v="470"/>
    <s v="PARKING VIOLATION (EXCEPT ABANDONED VEHICLES)"/>
    <x v="369"/>
  </r>
  <r>
    <n v="1702809"/>
    <n v="470"/>
    <s v="PARKING VIOLATION (EXCEPT ABANDONED VEHICLES)"/>
    <x v="370"/>
  </r>
  <r>
    <n v="1702810"/>
    <n v="245"/>
    <s v="DISTURBANCE, OTHER"/>
    <x v="371"/>
  </r>
  <r>
    <n v="1702811"/>
    <n v="188"/>
    <s v="MARIJUANA PUBLIC USE (NOT DISPENSARY)"/>
    <x v="372"/>
  </r>
  <r>
    <n v="1702812"/>
    <n v="282"/>
    <s v="SUSPICIOUS CIRCUMSTANCES - BUILDING (OPEN DOOR, ETC.)"/>
    <x v="373"/>
  </r>
  <r>
    <n v="1702813"/>
    <n v="450"/>
    <s v="DRIVING WHILE UNDER INFLUENCE (DUI)"/>
    <x v="374"/>
  </r>
  <r>
    <n v="1702814"/>
    <n v="470"/>
    <s v="PARKING VIOLATION (EXCEPT ABANDONED VEHICLES)"/>
    <x v="375"/>
  </r>
  <r>
    <n v="1702815"/>
    <n v="50"/>
    <s v="BURGLARY - RESIDENTIAL, UNOCCUPIED"/>
    <x v="376"/>
  </r>
  <r>
    <n v="1702816"/>
    <n v="250"/>
    <s v="MISCHIEF, NUISANCE COMPLAINTS"/>
    <x v="377"/>
  </r>
  <r>
    <n v="1702817"/>
    <n v="71"/>
    <s v="AUTO THEFT"/>
    <x v="378"/>
  </r>
  <r>
    <n v="1702818"/>
    <n v="63"/>
    <s v="THEFT - CAR PROWL"/>
    <x v="379"/>
  </r>
  <r>
    <n v="1702819"/>
    <n v="460"/>
    <s v="TRAFFIC (MOVING) VIOLATION"/>
    <x v="377"/>
  </r>
  <r>
    <n v="1702820"/>
    <n v="64"/>
    <s v="SHOPLIFT"/>
    <x v="380"/>
  </r>
  <r>
    <n v="1702821"/>
    <n v="350"/>
    <s v="HAZARDS"/>
    <x v="381"/>
  </r>
  <r>
    <n v="1702822"/>
    <n v="280"/>
    <s v="SUSPICIOUS PERSON"/>
    <x v="382"/>
  </r>
  <r>
    <n v="1702823"/>
    <n v="470"/>
    <s v="PARKING VIOLATION (EXCEPT ABANDONED VEHICLES)"/>
    <x v="383"/>
  </r>
  <r>
    <n v="1702824"/>
    <n v="63"/>
    <s v="THEFT - CAR PROWL"/>
    <x v="384"/>
  </r>
  <r>
    <n v="1702825"/>
    <n v="51"/>
    <s v="BURGLARY - RESIDENTIAL, OCCUPIED"/>
    <x v="385"/>
  </r>
  <r>
    <n v="1702826"/>
    <n v="130"/>
    <s v="PROPERTY DESTRUCTION"/>
    <x v="386"/>
  </r>
  <r>
    <n v="1702827"/>
    <n v="250"/>
    <s v="MISCHIEF, NUISANCE COMPLAINTS"/>
    <x v="387"/>
  </r>
  <r>
    <n v="1702828"/>
    <n v="200"/>
    <s v="ALACAD - COMMERCIAL BURGLARY (FALSE)"/>
    <x v="388"/>
  </r>
  <r>
    <n v="1702829"/>
    <n v="245"/>
    <s v="DISTURBANCE, OTHER"/>
    <x v="389"/>
  </r>
  <r>
    <n v="1702830"/>
    <n v="220"/>
    <s v="CRISIS COMPLAINT - GENERAL"/>
    <x v="390"/>
  </r>
  <r>
    <n v="1702831"/>
    <n v="201"/>
    <s v="ALACAD - RESIDENTIAL BURGLARY (FALSE)"/>
    <x v="391"/>
  </r>
  <r>
    <n v="1702832"/>
    <n v="245"/>
    <s v="DISTURBANCE, OTHER"/>
    <x v="392"/>
  </r>
  <r>
    <n v="1702833"/>
    <n v="245"/>
    <s v="DISTURBANCE, OTHER"/>
    <x v="391"/>
  </r>
  <r>
    <n v="1702834"/>
    <n v="280"/>
    <s v="SUSPICIOUS PERSON"/>
    <x v="393"/>
  </r>
  <r>
    <n v="1702835"/>
    <n v="161"/>
    <s v="TRESPASS"/>
    <x v="392"/>
  </r>
  <r>
    <n v="1702836"/>
    <n v="200"/>
    <s v="ALACAD - COMMERCIAL BURGLARY (FALSE)"/>
    <x v="392"/>
  </r>
  <r>
    <n v="1702837"/>
    <n v="470"/>
    <s v="PARKING VIOLATION (EXCEPT ABANDONED VEHICLES)"/>
    <x v="391"/>
  </r>
  <r>
    <n v="1702838"/>
    <n v="470"/>
    <s v="PARKING VIOLATION (EXCEPT ABANDONED VEHICLES)"/>
    <x v="394"/>
  </r>
  <r>
    <n v="1702839"/>
    <n v="280"/>
    <s v="SUSPICIOUS PERSON"/>
    <x v="395"/>
  </r>
  <r>
    <n v="1702840"/>
    <n v="244"/>
    <s v="NOISE DISTURBANCE"/>
    <x v="396"/>
  </r>
  <r>
    <n v="1702841"/>
    <n v="250"/>
    <s v="MISCHIEF, NUISANCE COMPLAINTS"/>
    <x v="397"/>
  </r>
  <r>
    <n v="1702842"/>
    <n v="245"/>
    <s v="DISTURBANCE, OTHER"/>
    <x v="398"/>
  </r>
  <r>
    <n v="1702843"/>
    <n v="470"/>
    <s v="PARKING VIOLATION (EXCEPT ABANDONED VEHICLES)"/>
    <x v="399"/>
  </r>
  <r>
    <n v="1702844"/>
    <n v="430"/>
    <s v="MOTOR VEHICLE COLLISION"/>
    <x v="400"/>
  </r>
  <r>
    <n v="1702845"/>
    <n v="200"/>
    <s v="ALACAD - COMMERCIAL BURGLARY (FALSE)"/>
    <x v="401"/>
  </r>
  <r>
    <n v="1702846"/>
    <n v="186"/>
    <s v="NARCOTICS, DRUG TRAFFIC LOITERING"/>
    <x v="402"/>
  </r>
  <r>
    <n v="1702847"/>
    <n v="430"/>
    <s v="MOTOR VEHICLE COLLISION"/>
    <x v="403"/>
  </r>
  <r>
    <n v="1702848"/>
    <n v="63"/>
    <s v="THEFT - CAR PROWL"/>
    <x v="404"/>
  </r>
  <r>
    <n v="1702849"/>
    <n v="430"/>
    <s v="MOTOR VEHICLE COLLISION"/>
    <x v="405"/>
  </r>
  <r>
    <n v="1702850"/>
    <n v="65"/>
    <s v="THEFT - MISCELLANEOUS"/>
    <x v="406"/>
  </r>
  <r>
    <n v="1702851"/>
    <n v="245"/>
    <s v="DISTURBANCE, OTHER"/>
    <x v="407"/>
  </r>
  <r>
    <n v="1702852"/>
    <n v="470"/>
    <s v="PARKING VIOLATION (EXCEPT ABANDONED VEHICLES)"/>
    <x v="408"/>
  </r>
  <r>
    <n v="1702853"/>
    <n v="201"/>
    <s v="ALACAD - RESIDENTIAL BURGLARY (FALSE)"/>
    <x v="409"/>
  </r>
  <r>
    <n v="1702854"/>
    <n v="203"/>
    <s v="ALACAD - RESIDENTIAL PANIC (FALSE)"/>
    <x v="410"/>
  </r>
  <r>
    <n v="1702855"/>
    <n v="161"/>
    <s v="TRESPASS"/>
    <x v="411"/>
  </r>
  <r>
    <n v="1702856"/>
    <n v="250"/>
    <s v="MISCHIEF, NUISANCE COMPLAINTS"/>
    <x v="412"/>
  </r>
  <r>
    <n v="1702857"/>
    <n v="161"/>
    <s v="TRESPASS"/>
    <x v="413"/>
  </r>
  <r>
    <n v="1702858"/>
    <n v="250"/>
    <s v="MISCHIEF, NUISANCE COMPLAINTS"/>
    <x v="414"/>
  </r>
  <r>
    <n v="1702859"/>
    <n v="160"/>
    <s v="PROWLER"/>
    <x v="415"/>
  </r>
  <r>
    <n v="1702860"/>
    <n v="282"/>
    <s v="SUSPICIOUS CIRCUMSTANCES - BUILDING (OPEN DOOR, ETC.)"/>
    <x v="416"/>
  </r>
  <r>
    <n v="1702861"/>
    <n v="63"/>
    <s v="THEFT - CAR PROWL"/>
    <x v="416"/>
  </r>
  <r>
    <n v="1702862"/>
    <n v="130"/>
    <s v="PROPERTY DESTRUCTION"/>
    <x v="417"/>
  </r>
  <r>
    <n v="1702863"/>
    <n v="244"/>
    <s v="NOISE DISTURBANCE"/>
    <x v="413"/>
  </r>
  <r>
    <n v="1702864"/>
    <n v="245"/>
    <s v="DISTURBANCE, OTHER"/>
    <x v="418"/>
  </r>
  <r>
    <n v="1702865"/>
    <n v="281"/>
    <s v="SUSPICIOUS VEHICLE"/>
    <x v="419"/>
  </r>
  <r>
    <n v="1702866"/>
    <n v="281"/>
    <s v="SUSPICIOUS VEHICLE"/>
    <x v="419"/>
  </r>
  <r>
    <n v="1702867"/>
    <n v="31"/>
    <s v="STRONG ARM ROBBERY"/>
    <x v="418"/>
  </r>
  <r>
    <n v="1702868"/>
    <n v="200"/>
    <s v="ALACAD - COMMERCIAL BURGLARY (FALSE)"/>
    <x v="420"/>
  </r>
  <r>
    <n v="1702869"/>
    <n v="280"/>
    <s v="SUSPICIOUS PERSON"/>
    <x v="421"/>
  </r>
  <r>
    <n v="1702870"/>
    <n v="470"/>
    <s v="PARKING VIOLATION (EXCEPT ABANDONED VEHICLES)"/>
    <x v="422"/>
  </r>
  <r>
    <n v="1702871"/>
    <n v="250"/>
    <s v="MISCHIEF, NUISANCE COMPLAINTS"/>
    <x v="422"/>
  </r>
  <r>
    <n v="1702872"/>
    <n v="63"/>
    <s v="THEFT - CAR PROWL"/>
    <x v="420"/>
  </r>
  <r>
    <n v="1702873"/>
    <n v="188"/>
    <s v="MARIJUANA PUBLIC USE (NOT DISPENSARY)"/>
    <x v="423"/>
  </r>
  <r>
    <n v="1702874"/>
    <n v="280"/>
    <s v="SUSPICIOUS PERSON"/>
    <x v="424"/>
  </r>
  <r>
    <n v="1702875"/>
    <n v="250"/>
    <s v="MISCHIEF, NUISANCE COMPLAINTS"/>
    <x v="425"/>
  </r>
  <r>
    <n v="1702876"/>
    <n v="63"/>
    <s v="THEFT - CAR PROWL"/>
    <x v="424"/>
  </r>
  <r>
    <n v="1702877"/>
    <n v="242"/>
    <s v="FIGHT DISTURBANCE"/>
    <x v="426"/>
  </r>
  <r>
    <n v="1702878"/>
    <n v="470"/>
    <s v="PARKING VIOLATION (EXCEPT ABANDONED VEHICLES)"/>
    <x v="427"/>
  </r>
  <r>
    <n v="1702879"/>
    <n v="63"/>
    <s v="THEFT - CAR PROWL"/>
    <x v="428"/>
  </r>
  <r>
    <n v="1702880"/>
    <n v="71"/>
    <s v="AUTO THEFT"/>
    <x v="429"/>
  </r>
  <r>
    <n v="1702881"/>
    <n v="161"/>
    <s v="TRESPASS"/>
    <x v="430"/>
  </r>
  <r>
    <n v="1702882"/>
    <n v="130"/>
    <s v="PROPERTY DESTRUCTION"/>
    <x v="431"/>
  </r>
  <r>
    <n v="1702883"/>
    <n v="460"/>
    <s v="TRAFFIC (MOVING) VIOLATION"/>
    <x v="432"/>
  </r>
  <r>
    <n v="1702884"/>
    <n v="245"/>
    <s v="DISTURBANCE, OTHER"/>
    <x v="433"/>
  </r>
  <r>
    <n v="1702885"/>
    <n v="470"/>
    <s v="PARKING VIOLATION (EXCEPT ABANDONED VEHICLES)"/>
    <x v="434"/>
  </r>
  <r>
    <n v="1702886"/>
    <n v="430"/>
    <s v="MOTOR VEHICLE COLLISION"/>
    <x v="433"/>
  </r>
  <r>
    <n v="1702887"/>
    <n v="161"/>
    <s v="TRESPASS"/>
    <x v="435"/>
  </r>
  <r>
    <n v="1702888"/>
    <n v="161"/>
    <s v="TRESPASS"/>
    <x v="436"/>
  </r>
  <r>
    <n v="1702889"/>
    <n v="65"/>
    <s v="THEFT - MISCELLANEOUS"/>
    <x v="437"/>
  </r>
  <r>
    <n v="1702890"/>
    <n v="430"/>
    <s v="MOTOR VEHICLE COLLISION"/>
    <x v="438"/>
  </r>
  <r>
    <n v="1702891"/>
    <n v="350"/>
    <s v="HAZARDS"/>
    <x v="439"/>
  </r>
  <r>
    <n v="1702892"/>
    <n v="430"/>
    <s v="MOTOR VEHICLE COLLISION"/>
    <x v="440"/>
  </r>
  <r>
    <n v="1702893"/>
    <n v="470"/>
    <s v="PARKING VIOLATION (EXCEPT ABANDONED VEHICLES)"/>
    <x v="441"/>
  </r>
  <r>
    <n v="1702894"/>
    <n v="280"/>
    <s v="SUSPICIOUS PERSON"/>
    <x v="442"/>
  </r>
  <r>
    <n v="1702895"/>
    <n v="470"/>
    <s v="PARKING VIOLATION (EXCEPT ABANDONED VEHICLES)"/>
    <x v="443"/>
  </r>
  <r>
    <n v="1702896"/>
    <n v="280"/>
    <s v="SUSPICIOUS PERSON"/>
    <x v="444"/>
  </r>
  <r>
    <n v="1702897"/>
    <n v="74"/>
    <s v="LICENSE PLATE THEFT OR LOSS"/>
    <x v="445"/>
  </r>
  <r>
    <n v="1702898"/>
    <n v="450"/>
    <s v="DRIVING WHILE UNDER INFLUENCE (DUI)"/>
    <x v="442"/>
  </r>
  <r>
    <n v="1702899"/>
    <n v="430"/>
    <s v="MOTOR VEHICLE COLLISION"/>
    <x v="446"/>
  </r>
  <r>
    <n v="1702900"/>
    <n v="177"/>
    <s v="LIQUOR VIOLATION - INTOXICATED PERSON"/>
    <x v="447"/>
  </r>
  <r>
    <n v="1702901"/>
    <n v="220"/>
    <s v="CRISIS COMPLAINT - GENERAL"/>
    <x v="448"/>
  </r>
  <r>
    <n v="1702902"/>
    <n v="65"/>
    <s v="THEFT - MISCELLANEOUS"/>
    <x v="449"/>
  </r>
  <r>
    <n v="1702903"/>
    <n v="161"/>
    <s v="TRESPASS"/>
    <x v="450"/>
  </r>
  <r>
    <n v="1702904"/>
    <n v="350"/>
    <s v="HAZARDS"/>
    <x v="451"/>
  </r>
  <r>
    <n v="1702905"/>
    <n v="465"/>
    <s v="PEDESTRIAN VIOLATION"/>
    <x v="452"/>
  </r>
  <r>
    <n v="1702906"/>
    <n v="63"/>
    <s v="THEFT - CAR PROWL"/>
    <x v="453"/>
  </r>
  <r>
    <n v="1702907"/>
    <n v="51"/>
    <s v="BURGLARY - RESIDENTIAL, OCCUPIED"/>
    <x v="448"/>
  </r>
  <r>
    <n v="1702908"/>
    <n v="280"/>
    <s v="SUSPICIOUS PERSON"/>
    <x v="454"/>
  </r>
  <r>
    <n v="1702909"/>
    <n v="245"/>
    <s v="DISTURBANCE, OTHER"/>
    <x v="455"/>
  </r>
  <r>
    <n v="1702910"/>
    <n v="201"/>
    <s v="ALACAD - RESIDENTIAL BURGLARY (FALSE)"/>
    <x v="456"/>
  </r>
  <r>
    <n v="1702911"/>
    <n v="130"/>
    <s v="PROPERTY DESTRUCTION"/>
    <x v="457"/>
  </r>
  <r>
    <n v="1702912"/>
    <n v="177"/>
    <s v="LIQUOR VIOLATION - INTOXICATED PERSON"/>
    <x v="458"/>
  </r>
  <r>
    <n v="1702913"/>
    <n v="430"/>
    <s v="MOTOR VEHICLE COLLISION"/>
    <x v="459"/>
  </r>
  <r>
    <n v="1702914"/>
    <n v="245"/>
    <s v="DISTURBANCE, OTHER"/>
    <x v="458"/>
  </r>
  <r>
    <n v="1702915"/>
    <n v="450"/>
    <s v="DRIVING WHILE UNDER INFLUENCE (DUI)"/>
    <x v="460"/>
  </r>
  <r>
    <n v="1702916"/>
    <n v="250"/>
    <s v="MISCHIEF, NUISANCE COMPLAINTS"/>
    <x v="459"/>
  </r>
  <r>
    <n v="1702917"/>
    <n v="470"/>
    <s v="PARKING VIOLATION (EXCEPT ABANDONED VEHICLES)"/>
    <x v="461"/>
  </r>
  <r>
    <n v="1702918"/>
    <n v="470"/>
    <s v="PARKING VIOLATION (EXCEPT ABANDONED VEHICLES)"/>
    <x v="462"/>
  </r>
  <r>
    <n v="1702919"/>
    <n v="40"/>
    <s v="ASSAULTS, OTHER"/>
    <x v="463"/>
  </r>
  <r>
    <n v="1702920"/>
    <n v="176"/>
    <s v="LIQUOR VIOLATION - ADULT"/>
    <x v="462"/>
  </r>
  <r>
    <n v="1702921"/>
    <n v="220"/>
    <s v="CRISIS COMPLAINT - GENERAL"/>
    <x v="462"/>
  </r>
  <r>
    <n v="1702922"/>
    <n v="177"/>
    <s v="LIQUOR VIOLATION - INTOXICATED PERSON"/>
    <x v="464"/>
  </r>
  <r>
    <n v="1702923"/>
    <n v="465"/>
    <s v="PEDESTRIAN VIOLATION"/>
    <x v="465"/>
  </r>
  <r>
    <n v="1702924"/>
    <n v="281"/>
    <s v="SUSPICIOUS VEHICLE"/>
    <x v="465"/>
  </r>
  <r>
    <n v="1702925"/>
    <n v="244"/>
    <s v="NOISE DISTURBANCE"/>
    <x v="466"/>
  </r>
  <r>
    <n v="1702926"/>
    <n v="371"/>
    <s v="PROPERTY - MISSING"/>
    <x v="467"/>
  </r>
  <r>
    <n v="1702927"/>
    <n v="470"/>
    <s v="PARKING VIOLATION (EXCEPT ABANDONED VEHICLES)"/>
    <x v="468"/>
  </r>
  <r>
    <n v="1702928"/>
    <n v="220"/>
    <s v="CRISIS COMPLAINT - GENERAL"/>
    <x v="465"/>
  </r>
  <r>
    <n v="1702929"/>
    <n v="430"/>
    <s v="MOTOR VEHICLE COLLISION"/>
    <x v="469"/>
  </r>
  <r>
    <n v="1702930"/>
    <n v="100"/>
    <s v="FRAUD (INCLUDING IDENTITY THEFT)"/>
    <x v="466"/>
  </r>
  <r>
    <n v="1702931"/>
    <n v="177"/>
    <s v="LIQUOR VIOLATION - INTOXICATED PERSON"/>
    <x v="470"/>
  </r>
  <r>
    <n v="1702932"/>
    <n v="170"/>
    <s v="RECKLESS ENDANGERMENT, LITTERING, PARKS CODE VIOLATIONS"/>
    <x v="471"/>
  </r>
  <r>
    <n v="1702933"/>
    <n v="244"/>
    <s v="NOISE DISTURBANCE"/>
    <x v="472"/>
  </r>
  <r>
    <n v="1702934"/>
    <n v="245"/>
    <s v="DISTURBANCE, OTHER"/>
    <x v="464"/>
  </r>
  <r>
    <n v="1702935"/>
    <n v="280"/>
    <s v="SUSPICIOUS PERSON"/>
    <x v="473"/>
  </r>
  <r>
    <n v="1702936"/>
    <n v="430"/>
    <s v="MOTOR VEHICLE COLLISION"/>
    <x v="474"/>
  </r>
  <r>
    <n v="1702937"/>
    <n v="372"/>
    <s v="PROPERTY - FOUND (FOLLOW UP TO SPD CASE)"/>
    <x v="464"/>
  </r>
  <r>
    <n v="1702938"/>
    <n v="63"/>
    <s v="THEFT - CAR PROWL"/>
    <x v="475"/>
  </r>
  <r>
    <n v="1702939"/>
    <n v="64"/>
    <s v="SHOPLIFT"/>
    <x v="471"/>
  </r>
  <r>
    <n v="1702940"/>
    <n v="188"/>
    <s v="MARIJUANA PUBLIC USE (NOT DISPENSARY)"/>
    <x v="476"/>
  </r>
  <r>
    <n v="1702941"/>
    <n v="415"/>
    <s v="BLOCKING VEHICLE"/>
    <x v="471"/>
  </r>
  <r>
    <n v="1702942"/>
    <n v="40"/>
    <s v="ASSAULTS, OTHER"/>
    <x v="471"/>
  </r>
  <r>
    <n v="1702943"/>
    <n v="280"/>
    <s v="SUSPICIOUS PERSON"/>
    <x v="476"/>
  </r>
  <r>
    <n v="1702944"/>
    <n v="282"/>
    <s v="SUSPICIOUS CIRCUMSTANCES - BUILDING (OPEN DOOR, ETC.)"/>
    <x v="475"/>
  </r>
  <r>
    <n v="1702945"/>
    <n v="53"/>
    <s v="BURGLARY - UNOCCUPIED STRUCTURE ON RESIDENTIAL PROPERTY"/>
    <x v="473"/>
  </r>
  <r>
    <n v="1702946"/>
    <n v="220"/>
    <s v="CRISIS COMPLAINT - GENERAL"/>
    <x v="477"/>
  </r>
  <r>
    <n v="1702947"/>
    <n v="430"/>
    <s v="MOTOR VEHICLE COLLISION"/>
    <x v="475"/>
  </r>
  <r>
    <n v="1702948"/>
    <n v="65"/>
    <s v="THEFT - MISCELLANEOUS"/>
    <x v="478"/>
  </r>
  <r>
    <n v="1702949"/>
    <n v="280"/>
    <s v="SUSPICIOUS PERSON"/>
    <x v="479"/>
  </r>
  <r>
    <n v="1702950"/>
    <n v="71"/>
    <s v="AUTO THEFT"/>
    <x v="480"/>
  </r>
  <r>
    <n v="1702951"/>
    <n v="63"/>
    <s v="THEFT - CAR PROWL"/>
    <x v="481"/>
  </r>
  <r>
    <n v="1702952"/>
    <n v="242"/>
    <s v="FIGHT DISTURBANCE"/>
    <x v="482"/>
  </r>
  <r>
    <n v="1702953"/>
    <n v="410"/>
    <s v="ABANDONED VEHICLE"/>
    <x v="483"/>
  </r>
  <r>
    <n v="1702954"/>
    <n v="250"/>
    <s v="MISCHIEF, NUISANCE COMPLAINTS"/>
    <x v="484"/>
  </r>
  <r>
    <n v="1702955"/>
    <n v="280"/>
    <s v="SUSPICIOUS PERSON"/>
    <x v="485"/>
  </r>
  <r>
    <n v="1702956"/>
    <n v="330"/>
    <s v="CASUALTY (NON CRIMINAL/TRAFFIC) - MAN DOWN, SICK PERSONS, INJURED, DOA)"/>
    <x v="486"/>
  </r>
  <r>
    <n v="1702957"/>
    <n v="64"/>
    <s v="SHOPLIFT"/>
    <x v="487"/>
  </r>
  <r>
    <n v="1702958"/>
    <n v="410"/>
    <s v="ABANDONED VEHICLE"/>
    <x v="488"/>
  </r>
  <r>
    <n v="1702959"/>
    <n v="245"/>
    <s v="DISTURBANCE, OTHER"/>
    <x v="489"/>
  </r>
  <r>
    <n v="1702960"/>
    <n v="243"/>
    <s v="JUVENILE DISTURBANCE"/>
    <x v="490"/>
  </r>
  <r>
    <n v="1702961"/>
    <n v="176"/>
    <s v="LIQUOR VIOLATION - ADULT"/>
    <x v="489"/>
  </r>
  <r>
    <n v="1702962"/>
    <n v="63"/>
    <s v="THEFT - CAR PROWL"/>
    <x v="491"/>
  </r>
  <r>
    <n v="1702963"/>
    <n v="63"/>
    <s v="THEFT - CAR PROWL"/>
    <x v="490"/>
  </r>
  <r>
    <n v="1702964"/>
    <n v="245"/>
    <s v="DISTURBANCE, OTHER"/>
    <x v="492"/>
  </r>
  <r>
    <n v="1702965"/>
    <n v="280"/>
    <s v="SUSPICIOUS PERSON"/>
    <x v="493"/>
  </r>
  <r>
    <n v="1702966"/>
    <n v="280"/>
    <s v="SUSPICIOUS PERSON"/>
    <x v="494"/>
  </r>
  <r>
    <n v="1702967"/>
    <n v="280"/>
    <s v="SUSPICIOUS PERSON"/>
    <x v="495"/>
  </r>
  <r>
    <n v="1702968"/>
    <n v="101"/>
    <s v="FORGERY, BAD CHECKS"/>
    <x v="493"/>
  </r>
  <r>
    <n v="1702970"/>
    <n v="65"/>
    <s v="THEFT - MISCELLANEOUS"/>
    <x v="496"/>
  </r>
  <r>
    <n v="1702971"/>
    <n v="63"/>
    <s v="THEFT - CAR PROWL"/>
    <x v="494"/>
  </r>
  <r>
    <n v="1702972"/>
    <n v="350"/>
    <s v="HAZARDS"/>
    <x v="497"/>
  </r>
  <r>
    <n v="1702973"/>
    <n v="245"/>
    <s v="DISTURBANCE, OTHER"/>
    <x v="497"/>
  </r>
  <r>
    <n v="1702974"/>
    <n v="161"/>
    <s v="TRESPASS"/>
    <x v="495"/>
  </r>
  <r>
    <n v="1702975"/>
    <n v="40"/>
    <s v="ASSAULTS, OTHER"/>
    <x v="498"/>
  </r>
  <r>
    <n v="1702976"/>
    <n v="63"/>
    <s v="THEFT - CAR PROWL"/>
    <x v="497"/>
  </r>
  <r>
    <n v="1702977"/>
    <n v="184"/>
    <s v="NARCOTICS, OTHER"/>
    <x v="499"/>
  </r>
  <r>
    <n v="1702978"/>
    <n v="245"/>
    <s v="DISTURBANCE, OTHER"/>
    <x v="500"/>
  </r>
  <r>
    <n v="1702979"/>
    <n v="161"/>
    <s v="TRESPASS"/>
    <x v="501"/>
  </r>
  <r>
    <n v="1702980"/>
    <n v="350"/>
    <s v="HAZARDS"/>
    <x v="502"/>
  </r>
  <r>
    <n v="1702981"/>
    <n v="470"/>
    <s v="PARKING VIOLATION (EXCEPT ABANDONED VEHICLES)"/>
    <x v="503"/>
  </r>
  <r>
    <n v="1702982"/>
    <n v="280"/>
    <s v="SUSPICIOUS PERSON"/>
    <x v="502"/>
  </r>
  <r>
    <n v="1702983"/>
    <n v="177"/>
    <s v="LIQUOR VIOLATION - INTOXICATED PERSON"/>
    <x v="502"/>
  </r>
  <r>
    <n v="1702984"/>
    <n v="460"/>
    <s v="TRAFFIC (MOVING) VIOLATION"/>
    <x v="504"/>
  </r>
  <r>
    <n v="1702985"/>
    <n v="430"/>
    <s v="MOTOR VEHICLE COLLISION"/>
    <x v="505"/>
  </r>
  <r>
    <n v="1702986"/>
    <n v="372"/>
    <s v="PROPERTY - FOUND (FOLLOW UP TO SPD CASE)"/>
    <x v="506"/>
  </r>
  <r>
    <n v="1702987"/>
    <n v="63"/>
    <s v="THEFT - CAR PROWL"/>
    <x v="507"/>
  </r>
  <r>
    <n v="1702988"/>
    <n v="161"/>
    <s v="TRESPASS"/>
    <x v="508"/>
  </r>
  <r>
    <n v="1702989"/>
    <n v="63"/>
    <s v="THEFT - CAR PROWL"/>
    <x v="505"/>
  </r>
  <r>
    <n v="1702990"/>
    <n v="161"/>
    <s v="TRESPASS"/>
    <x v="508"/>
  </r>
  <r>
    <n v="1702991"/>
    <n v="177"/>
    <s v="LIQUOR VIOLATION - INTOXICATED PERSON"/>
    <x v="509"/>
  </r>
  <r>
    <n v="1702992"/>
    <n v="280"/>
    <s v="SUSPICIOUS PERSON"/>
    <x v="510"/>
  </r>
  <r>
    <n v="1702993"/>
    <n v="281"/>
    <s v="SUSPICIOUS VEHICLE"/>
    <x v="511"/>
  </r>
  <r>
    <n v="1702994"/>
    <n v="52"/>
    <s v="BURGLARY - COMMERCIAL"/>
    <x v="512"/>
  </r>
  <r>
    <n v="1702995"/>
    <n v="63"/>
    <s v="THEFT - CAR PROWL"/>
    <x v="509"/>
  </r>
  <r>
    <n v="1702996"/>
    <n v="63"/>
    <s v="THEFT - CAR PROWL"/>
    <x v="511"/>
  </r>
  <r>
    <n v="1702997"/>
    <n v="65"/>
    <s v="THEFT - MISCELLANEOUS"/>
    <x v="513"/>
  </r>
  <r>
    <n v="1702998"/>
    <n v="250"/>
    <s v="MISCHIEF, NUISANCE COMPLAINTS"/>
    <x v="514"/>
  </r>
  <r>
    <n v="1703001"/>
    <n v="177"/>
    <s v="LIQUOR VIOLATION - INTOXICATED PERSON"/>
    <x v="515"/>
  </r>
  <r>
    <n v="1703002"/>
    <n v="280"/>
    <s v="SUSPICIOUS PERSON"/>
    <x v="516"/>
  </r>
  <r>
    <n v="1703003"/>
    <n v="50"/>
    <s v="BURGLARY - RESIDENTIAL, UNOCCUPIED"/>
    <x v="517"/>
  </r>
  <r>
    <n v="1703004"/>
    <n v="242"/>
    <s v="FIGHT DISTURBANCE"/>
    <x v="518"/>
  </r>
  <r>
    <n v="1703005"/>
    <n v="372"/>
    <s v="PROPERTY - FOUND (FOLLOW UP TO SPD CASE)"/>
    <x v="519"/>
  </r>
  <r>
    <n v="1703006"/>
    <n v="63"/>
    <s v="THEFT - CAR PROWL"/>
    <x v="520"/>
  </r>
  <r>
    <n v="1703007"/>
    <n v="330"/>
    <s v="CASUALTY (NON CRIMINAL/TRAFFIC) - MAN DOWN, SICK PERSONS, INJURED, DOA)"/>
    <x v="521"/>
  </r>
  <r>
    <n v="1703008"/>
    <n v="141"/>
    <s v="LEWD CONDUCT"/>
    <x v="522"/>
  </r>
  <r>
    <n v="1703009"/>
    <n v="245"/>
    <s v="DISTURBANCE, OTHER"/>
    <x v="523"/>
  </r>
  <r>
    <n v="1703010"/>
    <n v="280"/>
    <s v="SUSPICIOUS PERSON"/>
    <x v="524"/>
  </r>
  <r>
    <n v="1703011"/>
    <n v="281"/>
    <s v="SUSPICIOUS VEHICLE"/>
    <x v="525"/>
  </r>
  <r>
    <n v="1703012"/>
    <n v="282"/>
    <s v="SUSPICIOUS CIRCUMSTANCES - BUILDING (OPEN DOOR, ETC.)"/>
    <x v="526"/>
  </r>
  <r>
    <n v="1703013"/>
    <n v="177"/>
    <s v="LIQUOR VIOLATION - INTOXICATED PERSON"/>
    <x v="527"/>
  </r>
  <r>
    <n v="1703014"/>
    <n v="430"/>
    <s v="MOTOR VEHICLE COLLISION"/>
    <x v="528"/>
  </r>
  <r>
    <n v="1703015"/>
    <n v="250"/>
    <s v="MISCHIEF, NUISANCE COMPLAINTS"/>
    <x v="529"/>
  </r>
  <r>
    <n v="1703016"/>
    <n v="220"/>
    <s v="CRISIS COMPLAINT - GENERAL"/>
    <x v="530"/>
  </r>
  <r>
    <n v="1703017"/>
    <n v="177"/>
    <s v="LIQUOR VIOLATION - INTOXICATED PERSON"/>
    <x v="531"/>
  </r>
  <r>
    <n v="1703018"/>
    <n v="63"/>
    <s v="THEFT - CAR PROWL"/>
    <x v="531"/>
  </r>
  <r>
    <n v="1703019"/>
    <n v="430"/>
    <s v="MOTOR VEHICLE COLLISION"/>
    <x v="532"/>
  </r>
  <r>
    <n v="1703020"/>
    <n v="63"/>
    <s v="THEFT - CAR PROWL"/>
    <x v="533"/>
  </r>
  <r>
    <n v="1703021"/>
    <n v="221"/>
    <s v="CRISIS COMPLAINT - PICK-UP OR TRANSPORT"/>
    <x v="534"/>
  </r>
  <r>
    <n v="1703022"/>
    <n v="470"/>
    <s v="PARKING VIOLATION (EXCEPT ABANDONED VEHICLES)"/>
    <x v="531"/>
  </r>
  <r>
    <n v="1703023"/>
    <n v="281"/>
    <s v="SUSPICIOUS VEHICLE"/>
    <x v="534"/>
  </r>
  <r>
    <n v="1703024"/>
    <n v="242"/>
    <s v="FIGHT DISTURBANCE"/>
    <x v="534"/>
  </r>
  <r>
    <n v="1703025"/>
    <n v="71"/>
    <s v="AUTO THEFT"/>
    <x v="535"/>
  </r>
  <r>
    <n v="1703026"/>
    <n v="280"/>
    <s v="SUSPICIOUS PERSON"/>
    <x v="536"/>
  </r>
  <r>
    <n v="1703027"/>
    <n v="50"/>
    <s v="BURGLARY - RESIDENTIAL, UNOCCUPIED"/>
    <x v="537"/>
  </r>
  <r>
    <n v="1703028"/>
    <n v="63"/>
    <s v="THEFT - CAR PROWL"/>
    <x v="538"/>
  </r>
  <r>
    <n v="1703029"/>
    <n v="63"/>
    <s v="THEFT - CAR PROWL"/>
    <x v="537"/>
  </r>
  <r>
    <n v="1703030"/>
    <n v="50"/>
    <s v="BURGLARY - RESIDENTIAL, UNOCCUPIED"/>
    <x v="538"/>
  </r>
  <r>
    <n v="1703031"/>
    <n v="282"/>
    <s v="SUSPICIOUS CIRCUMSTANCES - BUILDING (OPEN DOOR, ETC.)"/>
    <x v="539"/>
  </r>
  <r>
    <n v="1703032"/>
    <n v="74"/>
    <s v="LICENSE PLATE THEFT OR LOSS"/>
    <x v="540"/>
  </r>
  <r>
    <n v="1703034"/>
    <n v="470"/>
    <s v="PARKING VIOLATION (EXCEPT ABANDONED VEHICLES)"/>
    <x v="541"/>
  </r>
  <r>
    <n v="1703035"/>
    <n v="40"/>
    <s v="ASSAULTS, OTHER"/>
    <x v="542"/>
  </r>
  <r>
    <n v="1703036"/>
    <n v="73"/>
    <s v="AUTO RECOVERY"/>
    <x v="541"/>
  </r>
  <r>
    <n v="1703037"/>
    <n v="280"/>
    <s v="SUSPICIOUS PERSON"/>
    <x v="543"/>
  </r>
  <r>
    <n v="1703038"/>
    <n v="63"/>
    <s v="THEFT - CAR PROWL"/>
    <x v="544"/>
  </r>
  <r>
    <n v="1703039"/>
    <n v="161"/>
    <s v="TRESPASS"/>
    <x v="545"/>
  </r>
  <r>
    <n v="1703040"/>
    <n v="372"/>
    <s v="PROPERTY - FOUND (FOLLOW UP TO SPD CASE)"/>
    <x v="546"/>
  </r>
  <r>
    <n v="1703041"/>
    <n v="460"/>
    <s v="TRAFFIC (MOVING) VIOLATION"/>
    <x v="547"/>
  </r>
  <r>
    <n v="1703042"/>
    <n v="280"/>
    <s v="SUSPICIOUS PERSON"/>
    <x v="548"/>
  </r>
  <r>
    <n v="1703043"/>
    <n v="430"/>
    <s v="MOTOR VEHICLE COLLISION"/>
    <x v="549"/>
  </r>
  <r>
    <n v="1703044"/>
    <n v="161"/>
    <s v="TRESPASS"/>
    <x v="550"/>
  </r>
  <r>
    <n v="1703045"/>
    <n v="430"/>
    <s v="MOTOR VEHICLE COLLISION"/>
    <x v="551"/>
  </r>
  <r>
    <n v="1703046"/>
    <n v="450"/>
    <s v="DRIVING WHILE UNDER INFLUENCE (DUI)"/>
    <x v="552"/>
  </r>
  <r>
    <n v="1703047"/>
    <n v="460"/>
    <s v="TRAFFIC (MOVING) VIOLATION"/>
    <x v="553"/>
  </r>
  <r>
    <n v="1703048"/>
    <n v="430"/>
    <s v="MOTOR VEHICLE COLLISION"/>
    <x v="554"/>
  </r>
  <r>
    <n v="1703049"/>
    <n v="64"/>
    <s v="SHOPLIFT"/>
    <x v="555"/>
  </r>
  <r>
    <n v="1703050"/>
    <n v="63"/>
    <s v="THEFT - CAR PROWL"/>
    <x v="551"/>
  </r>
  <r>
    <n v="1703051"/>
    <n v="65"/>
    <s v="THEFT - MISCELLANEOUS"/>
    <x v="556"/>
  </r>
  <r>
    <n v="1703052"/>
    <n v="245"/>
    <s v="DISTURBANCE, OTHER"/>
    <x v="557"/>
  </r>
  <r>
    <n v="1703053"/>
    <n v="250"/>
    <s v="MISCHIEF, NUISANCE COMPLAINTS"/>
    <x v="558"/>
  </r>
  <r>
    <n v="1703054"/>
    <n v="200"/>
    <s v="ALACAD - COMMERCIAL BURGLARY (FALSE)"/>
    <x v="559"/>
  </r>
  <r>
    <n v="1703055"/>
    <n v="203"/>
    <s v="ALACAD - RESIDENTIAL PANIC (FALSE)"/>
    <x v="560"/>
  </r>
  <r>
    <n v="1703056"/>
    <n v="64"/>
    <s v="SHOPLIFT"/>
    <x v="561"/>
  </r>
  <r>
    <n v="1703057"/>
    <n v="244"/>
    <s v="NOISE DISTURBANCE"/>
    <x v="562"/>
  </r>
  <r>
    <n v="1703058"/>
    <n v="470"/>
    <s v="PARKING VIOLATION (EXCEPT ABANDONED VEHICLES)"/>
    <x v="563"/>
  </r>
  <r>
    <n v="1703059"/>
    <n v="280"/>
    <s v="SUSPICIOUS PERSON"/>
    <x v="564"/>
  </r>
  <r>
    <n v="1703060"/>
    <n v="245"/>
    <s v="DISTURBANCE, OTHER"/>
    <x v="561"/>
  </r>
  <r>
    <n v="1703061"/>
    <n v="161"/>
    <s v="TRESPASS"/>
    <x v="564"/>
  </r>
  <r>
    <n v="1703062"/>
    <n v="415"/>
    <s v="BLOCKING VEHICLE"/>
    <x v="565"/>
  </r>
  <r>
    <n v="1703063"/>
    <n v="40"/>
    <s v="ASSAULTS, OTHER"/>
    <x v="566"/>
  </r>
  <r>
    <n v="1703064"/>
    <n v="470"/>
    <s v="PARKING VIOLATION (EXCEPT ABANDONED VEHICLES)"/>
    <x v="567"/>
  </r>
  <r>
    <n v="1703065"/>
    <n v="177"/>
    <s v="LIQUOR VIOLATION - INTOXICATED PERSON"/>
    <x v="568"/>
  </r>
  <r>
    <n v="1703066"/>
    <n v="280"/>
    <s v="SUSPICIOUS PERSON"/>
    <x v="569"/>
  </r>
  <r>
    <n v="1703067"/>
    <n v="245"/>
    <s v="DISTURBANCE, OTHER"/>
    <x v="570"/>
  </r>
  <r>
    <n v="1703068"/>
    <n v="63"/>
    <s v="THEFT - CAR PROWL"/>
    <x v="571"/>
  </r>
  <r>
    <n v="1703069"/>
    <n v="280"/>
    <s v="SUSPICIOUS PERSON"/>
    <x v="572"/>
  </r>
  <r>
    <n v="1703070"/>
    <n v="65"/>
    <s v="THEFT - MISCELLANEOUS"/>
    <x v="573"/>
  </r>
  <r>
    <n v="1703071"/>
    <n v="177"/>
    <s v="LIQUOR VIOLATION - INTOXICATED PERSON"/>
    <x v="574"/>
  </r>
  <r>
    <n v="1703072"/>
    <n v="242"/>
    <s v="FIGHT DISTURBANCE"/>
    <x v="575"/>
  </r>
  <r>
    <n v="1703073"/>
    <n v="200"/>
    <s v="ALACAD - COMMERCIAL BURGLARY (FALSE)"/>
    <x v="576"/>
  </r>
  <r>
    <n v="1703074"/>
    <n v="250"/>
    <s v="MISCHIEF, NUISANCE COMPLAINTS"/>
    <x v="577"/>
  </r>
  <r>
    <n v="1703075"/>
    <n v="161"/>
    <s v="TRESPASS"/>
    <x v="578"/>
  </r>
  <r>
    <n v="1703076"/>
    <n v="281"/>
    <s v="SUSPICIOUS VEHICLE"/>
    <x v="574"/>
  </r>
  <r>
    <n v="1703077"/>
    <n v="430"/>
    <s v="MOTOR VEHICLE COLLISION"/>
    <x v="577"/>
  </r>
  <r>
    <n v="1703078"/>
    <n v="161"/>
    <s v="TRESPASS"/>
    <x v="579"/>
  </r>
  <r>
    <n v="1703080"/>
    <n v="177"/>
    <s v="LIQUOR VIOLATION - INTOXICATED PERSON"/>
    <x v="580"/>
  </r>
  <r>
    <n v="1703081"/>
    <n v="460"/>
    <s v="TRAFFIC (MOVING) VIOLATION"/>
    <x v="581"/>
  </r>
  <r>
    <n v="1703082"/>
    <n v="280"/>
    <s v="SUSPICIOUS PERSON"/>
    <x v="582"/>
  </r>
  <r>
    <n v="1703083"/>
    <n v="245"/>
    <s v="DISTURBANCE, OTHER"/>
    <x v="582"/>
  </r>
  <r>
    <n v="1703085"/>
    <n v="460"/>
    <s v="TRAFFIC (MOVING) VIOLATION"/>
    <x v="583"/>
  </r>
  <r>
    <n v="1703086"/>
    <n v="280"/>
    <s v="SUSPICIOUS PERSON"/>
    <x v="584"/>
  </r>
  <r>
    <n v="1703087"/>
    <n v="281"/>
    <s v="SUSPICIOUS VEHICLE"/>
    <x v="585"/>
  </r>
  <r>
    <n v="1703088"/>
    <n v="460"/>
    <s v="TRAFFIC (MOVING) VIOLATION"/>
    <x v="586"/>
  </r>
  <r>
    <n v="1703089"/>
    <n v="470"/>
    <s v="PARKING VIOLATION (EXCEPT ABANDONED VEHICLES)"/>
    <x v="587"/>
  </r>
  <r>
    <n v="1703090"/>
    <n v="470"/>
    <s v="PARKING VIOLATION (EXCEPT ABANDONED VEHICLES)"/>
    <x v="588"/>
  </r>
  <r>
    <n v="1703091"/>
    <n v="177"/>
    <s v="LIQUOR VIOLATION - INTOXICATED PERSON"/>
    <x v="589"/>
  </r>
  <r>
    <n v="1703092"/>
    <n v="460"/>
    <s v="TRAFFIC (MOVING) VIOLATION"/>
    <x v="590"/>
  </r>
  <r>
    <n v="1703093"/>
    <n v="450"/>
    <s v="DRIVING WHILE UNDER INFLUENCE (DUI)"/>
    <x v="591"/>
  </r>
  <r>
    <n v="1703094"/>
    <n v="245"/>
    <s v="DISTURBANCE, OTHER"/>
    <x v="592"/>
  </r>
  <r>
    <n v="1703095"/>
    <n v="460"/>
    <s v="TRAFFIC (MOVING) VIOLATION"/>
    <x v="593"/>
  </r>
  <r>
    <n v="1703096"/>
    <n v="330"/>
    <s v="CASUALTY (NON CRIMINAL/TRAFFIC) - MAN DOWN, SICK PERSONS, INJURED, DOA)"/>
    <x v="594"/>
  </r>
  <r>
    <n v="1703097"/>
    <n v="372"/>
    <s v="PROPERTY - FOUND (FOLLOW UP TO SPD CASE)"/>
    <x v="594"/>
  </r>
  <r>
    <n v="1703098"/>
    <n v="220"/>
    <s v="CRISIS COMPLAINT - GENERAL"/>
    <x v="588"/>
  </r>
  <r>
    <n v="1703099"/>
    <n v="63"/>
    <s v="THEFT - CAR PROWL"/>
    <x v="595"/>
  </r>
  <r>
    <n v="1703100"/>
    <n v="177"/>
    <s v="LIQUOR VIOLATION - INTOXICATED PERSON"/>
    <x v="596"/>
  </r>
  <r>
    <n v="1703101"/>
    <n v="245"/>
    <s v="DISTURBANCE, OTHER"/>
    <x v="597"/>
  </r>
  <r>
    <n v="1703102"/>
    <n v="470"/>
    <s v="PARKING VIOLATION (EXCEPT ABANDONED VEHICLES)"/>
    <x v="598"/>
  </r>
  <r>
    <n v="1703103"/>
    <n v="280"/>
    <s v="SUSPICIOUS PERSON"/>
    <x v="599"/>
  </r>
  <r>
    <n v="1703104"/>
    <n v="350"/>
    <s v="HAZARDS"/>
    <x v="600"/>
  </r>
  <r>
    <n v="1703105"/>
    <n v="220"/>
    <s v="CRISIS COMPLAINT - GENERAL"/>
    <x v="599"/>
  </r>
  <r>
    <n v="1703106"/>
    <n v="470"/>
    <s v="PARKING VIOLATION (EXCEPT ABANDONED VEHICLES)"/>
    <x v="598"/>
  </r>
  <r>
    <n v="1703107"/>
    <n v="244"/>
    <s v="NOISE DISTURBANCE"/>
    <x v="601"/>
  </r>
  <r>
    <n v="1703108"/>
    <n v="280"/>
    <s v="SUSPICIOUS PERSON"/>
    <x v="602"/>
  </r>
  <r>
    <n v="1703109"/>
    <n v="63"/>
    <s v="THEFT - CAR PROWL"/>
    <x v="603"/>
  </r>
  <r>
    <n v="1703110"/>
    <n v="64"/>
    <s v="SHOPLIFT"/>
    <x v="602"/>
  </r>
  <r>
    <n v="1703111"/>
    <n v="71"/>
    <s v="AUTO THEFT"/>
    <x v="604"/>
  </r>
  <r>
    <n v="1703112"/>
    <n v="52"/>
    <s v="BURGLARY - COMMERCIAL"/>
    <x v="602"/>
  </r>
  <r>
    <n v="1703113"/>
    <n v="460"/>
    <s v="TRAFFIC (MOVING) VIOLATION"/>
    <x v="605"/>
  </r>
  <r>
    <n v="1703114"/>
    <n v="40"/>
    <s v="ASSAULTS, OTHER"/>
    <x v="606"/>
  </r>
  <r>
    <n v="1703115"/>
    <n v="203"/>
    <s v="ALACAD - RESIDENTIAL PANIC (FALSE)"/>
    <x v="607"/>
  </r>
  <r>
    <n v="1703116"/>
    <n v="460"/>
    <s v="TRAFFIC (MOVING) VIOLATION"/>
    <x v="608"/>
  </r>
  <r>
    <n v="1703117"/>
    <n v="177"/>
    <s v="LIQUOR VIOLATION - INTOXICATED PERSON"/>
    <x v="609"/>
  </r>
  <r>
    <n v="1703118"/>
    <n v="177"/>
    <s v="LIQUOR VIOLATION - INTOXICATED PERSON"/>
    <x v="610"/>
  </r>
  <r>
    <n v="1703119"/>
    <n v="176"/>
    <s v="LIQUOR VIOLATION - ADULT"/>
    <x v="611"/>
  </r>
  <r>
    <n v="1703120"/>
    <n v="245"/>
    <s v="DISTURBANCE, OTHER"/>
    <x v="612"/>
  </r>
  <r>
    <n v="1703121"/>
    <n v="160"/>
    <s v="PROWLER"/>
    <x v="612"/>
  </r>
  <r>
    <n v="1703122"/>
    <n v="161"/>
    <s v="TRESPASS"/>
    <x v="613"/>
  </r>
  <r>
    <n v="1703123"/>
    <n v="280"/>
    <s v="SUSPICIOUS PERSON"/>
    <x v="614"/>
  </r>
  <r>
    <n v="1703124"/>
    <n v="161"/>
    <s v="TRESPASS"/>
    <x v="615"/>
  </r>
  <r>
    <n v="1703125"/>
    <n v="71"/>
    <s v="AUTO THEFT"/>
    <x v="614"/>
  </r>
  <r>
    <n v="1703126"/>
    <n v="430"/>
    <s v="MOTOR VEHICLE COLLISION"/>
    <x v="615"/>
  </r>
  <r>
    <n v="1703127"/>
    <n v="177"/>
    <s v="LIQUOR VIOLATION - INTOXICATED PERSON"/>
    <x v="616"/>
  </r>
  <r>
    <n v="1703128"/>
    <n v="177"/>
    <s v="LIQUOR VIOLATION - INTOXICATED PERSON"/>
    <x v="617"/>
  </r>
  <r>
    <n v="1703129"/>
    <n v="245"/>
    <s v="DISTURBANCE, OTHER"/>
    <x v="607"/>
  </r>
  <r>
    <n v="1703130"/>
    <n v="200"/>
    <s v="ALACAD - COMMERCIAL BURGLARY (FALSE)"/>
    <x v="618"/>
  </r>
  <r>
    <n v="1703131"/>
    <n v="200"/>
    <s v="ALACAD - COMMERCIAL BURGLARY (FALSE)"/>
    <x v="617"/>
  </r>
  <r>
    <n v="1703132"/>
    <n v="200"/>
    <s v="ALACAD - COMMERCIAL BURGLARY (FALSE)"/>
    <x v="619"/>
  </r>
  <r>
    <n v="1703133"/>
    <n v="281"/>
    <s v="SUSPICIOUS VEHICLE"/>
    <x v="620"/>
  </r>
  <r>
    <n v="1703134"/>
    <n v="281"/>
    <s v="SUSPICIOUS VEHICLE"/>
    <x v="621"/>
  </r>
  <r>
    <n v="1703135"/>
    <n v="282"/>
    <s v="SUSPICIOUS CIRCUMSTANCES - BUILDING (OPEN DOOR, ETC.)"/>
    <x v="622"/>
  </r>
  <r>
    <n v="1703136"/>
    <n v="430"/>
    <s v="MOTOR VEHICLE COLLISION"/>
    <x v="623"/>
  </r>
  <r>
    <n v="1703137"/>
    <n v="460"/>
    <s v="TRAFFIC (MOVING) VIOLATION"/>
    <x v="624"/>
  </r>
  <r>
    <n v="1703138"/>
    <n v="280"/>
    <s v="SUSPICIOUS PERSON"/>
    <x v="625"/>
  </r>
  <r>
    <n v="1703139"/>
    <n v="245"/>
    <s v="DISTURBANCE, OTHER"/>
    <x v="626"/>
  </r>
  <r>
    <n v="1703140"/>
    <n v="281"/>
    <s v="SUSPICIOUS VEHICLE"/>
    <x v="627"/>
  </r>
  <r>
    <n v="1703141"/>
    <n v="62"/>
    <s v="BICYCLE THEFT"/>
    <x v="628"/>
  </r>
  <r>
    <n v="1703142"/>
    <n v="450"/>
    <s v="DRIVING WHILE UNDER INFLUENCE (DUI)"/>
    <x v="629"/>
  </r>
  <r>
    <n v="1703143"/>
    <n v="280"/>
    <s v="SUSPICIOUS PERSON"/>
    <x v="630"/>
  </r>
  <r>
    <n v="1703144"/>
    <n v="450"/>
    <s v="DRIVING WHILE UNDER INFLUENCE (DUI)"/>
    <x v="631"/>
  </r>
  <r>
    <n v="1703145"/>
    <n v="281"/>
    <s v="SUSPICIOUS VEHICLE"/>
    <x v="632"/>
  </r>
  <r>
    <n v="1703146"/>
    <n v="245"/>
    <s v="DISTURBANCE, OTHER"/>
    <x v="633"/>
  </r>
  <r>
    <n v="1703147"/>
    <n v="280"/>
    <s v="SUSPICIOUS PERSON"/>
    <x v="634"/>
  </r>
  <r>
    <n v="1703148"/>
    <n v="280"/>
    <s v="SUSPICIOUS PERSON"/>
    <x v="635"/>
  </r>
  <r>
    <n v="1703149"/>
    <n v="280"/>
    <s v="SUSPICIOUS PERSON"/>
    <x v="636"/>
  </r>
  <r>
    <n v="1703150"/>
    <n v="244"/>
    <s v="NOISE DISTURBANCE"/>
    <x v="637"/>
  </r>
  <r>
    <n v="1703151"/>
    <n v="161"/>
    <s v="TRESPASS"/>
    <x v="638"/>
  </r>
  <r>
    <n v="1703152"/>
    <n v="161"/>
    <s v="TRESPASS"/>
    <x v="639"/>
  </r>
  <r>
    <n v="1703153"/>
    <n v="65"/>
    <s v="THEFT - MISCELLANEOUS"/>
    <x v="640"/>
  </r>
  <r>
    <n v="1703154"/>
    <n v="52"/>
    <s v="BURGLARY - COMMERCIAL"/>
    <x v="641"/>
  </r>
  <r>
    <n v="1703155"/>
    <n v="282"/>
    <s v="SUSPICIOUS CIRCUMSTANCES - BUILDING (OPEN DOOR, ETC.)"/>
    <x v="638"/>
  </r>
  <r>
    <n v="1703156"/>
    <n v="177"/>
    <s v="LIQUOR VIOLATION - INTOXICATED PERSON"/>
    <x v="642"/>
  </r>
  <r>
    <n v="1703157"/>
    <n v="244"/>
    <s v="NOISE DISTURBANCE"/>
    <x v="643"/>
  </r>
  <r>
    <n v="1703158"/>
    <n v="177"/>
    <s v="LIQUOR VIOLATION - INTOXICATED PERSON"/>
    <x v="644"/>
  </r>
  <r>
    <n v="1703159"/>
    <n v="430"/>
    <s v="MOTOR VEHICLE COLLISION"/>
    <x v="645"/>
  </r>
  <r>
    <n v="1703160"/>
    <n v="430"/>
    <s v="MOTOR VEHICLE COLLISION"/>
    <x v="646"/>
  </r>
  <r>
    <n v="1703161"/>
    <n v="244"/>
    <s v="NOISE DISTURBANCE"/>
    <x v="647"/>
  </r>
  <r>
    <n v="1703162"/>
    <n v="450"/>
    <s v="DRIVING WHILE UNDER INFLUENCE (DUI)"/>
    <x v="648"/>
  </r>
  <r>
    <n v="1703163"/>
    <n v="245"/>
    <s v="DISTURBANCE, OTHER"/>
    <x v="649"/>
  </r>
  <r>
    <n v="1703164"/>
    <n v="250"/>
    <s v="MISCHIEF, NUISANCE COMPLAINTS"/>
    <x v="650"/>
  </r>
  <r>
    <n v="1703165"/>
    <n v="280"/>
    <s v="SUSPICIOUS PERSON"/>
    <x v="651"/>
  </r>
  <r>
    <n v="1703166"/>
    <n v="63"/>
    <s v="THEFT - CAR PROWL"/>
    <x v="652"/>
  </r>
  <r>
    <n v="1703167"/>
    <n v="280"/>
    <s v="SUSPICIOUS PERSON"/>
    <x v="653"/>
  </r>
  <r>
    <n v="1703168"/>
    <n v="177"/>
    <s v="LIQUOR VIOLATION - INTOXICATED PERSON"/>
    <x v="654"/>
  </r>
  <r>
    <n v="1703169"/>
    <n v="281"/>
    <s v="SUSPICIOUS VEHICLE"/>
    <x v="655"/>
  </r>
  <r>
    <n v="1703170"/>
    <n v="250"/>
    <s v="MISCHIEF, NUISANCE COMPLAINTS"/>
    <x v="656"/>
  </r>
  <r>
    <n v="1703171"/>
    <n v="245"/>
    <s v="DISTURBANCE, OTHER"/>
    <x v="657"/>
  </r>
  <r>
    <n v="1703172"/>
    <n v="64"/>
    <s v="SHOPLIFT"/>
    <x v="656"/>
  </r>
  <r>
    <n v="1703173"/>
    <n v="191"/>
    <s v="FELONY WARRANT SERVICE"/>
    <x v="657"/>
  </r>
  <r>
    <n v="1703174"/>
    <n v="280"/>
    <s v="SUSPICIOUS PERSON"/>
    <x v="657"/>
  </r>
  <r>
    <n v="1703175"/>
    <n v="281"/>
    <s v="SUSPICIOUS VEHICLE"/>
    <x v="658"/>
  </r>
  <r>
    <n v="1703176"/>
    <n v="50"/>
    <s v="BURGLARY - RESIDENTIAL, UNOCCUPIED"/>
    <x v="659"/>
  </r>
  <r>
    <n v="1703177"/>
    <n v="245"/>
    <s v="DISTURBANCE, OTHER"/>
    <x v="660"/>
  </r>
  <r>
    <n v="1703178"/>
    <n v="470"/>
    <s v="PARKING VIOLATION (EXCEPT ABANDONED VEHICLES)"/>
    <x v="661"/>
  </r>
  <r>
    <n v="1703179"/>
    <n v="250"/>
    <s v="MISCHIEF, NUISANCE COMPLAINTS"/>
    <x v="662"/>
  </r>
  <r>
    <n v="1703180"/>
    <n v="460"/>
    <s v="TRAFFIC (MOVING) VIOLATION"/>
    <x v="662"/>
  </r>
  <r>
    <n v="1703181"/>
    <n v="242"/>
    <s v="FIGHT DISTURBANCE"/>
    <x v="663"/>
  </r>
  <r>
    <n v="1703182"/>
    <n v="177"/>
    <s v="LIQUOR VIOLATION - INTOXICATED PERSON"/>
    <x v="664"/>
  </r>
  <r>
    <n v="1703183"/>
    <n v="460"/>
    <s v="TRAFFIC (MOVING) VIOLATION"/>
    <x v="665"/>
  </r>
  <r>
    <n v="1703184"/>
    <n v="450"/>
    <s v="DRIVING WHILE UNDER INFLUENCE (DUI)"/>
    <x v="666"/>
  </r>
  <r>
    <n v="1703185"/>
    <n v="245"/>
    <s v="DISTURBANCE, OTHER"/>
    <x v="667"/>
  </r>
  <r>
    <n v="1703186"/>
    <n v="63"/>
    <s v="THEFT - CAR PROWL"/>
    <x v="661"/>
  </r>
  <r>
    <n v="1703187"/>
    <n v="245"/>
    <s v="DISTURBANCE, OTHER"/>
    <x v="667"/>
  </r>
  <r>
    <n v="1703188"/>
    <n v="40"/>
    <s v="ASSAULTS, OTHER"/>
    <x v="668"/>
  </r>
  <r>
    <n v="1703189"/>
    <n v="65"/>
    <s v="THEFT - MISCELLANEOUS"/>
    <x v="669"/>
  </r>
  <r>
    <n v="1703190"/>
    <n v="177"/>
    <s v="LIQUOR VIOLATION - INTOXICATED PERSON"/>
    <x v="670"/>
  </r>
  <r>
    <n v="1703191"/>
    <n v="280"/>
    <s v="SUSPICIOUS PERSON"/>
    <x v="671"/>
  </r>
  <r>
    <n v="1703192"/>
    <n v="245"/>
    <s v="DISTURBANCE, OTHER"/>
    <x v="672"/>
  </r>
  <r>
    <n v="1703193"/>
    <n v="200"/>
    <s v="ALACAD - COMMERCIAL BURGLARY (FALSE)"/>
    <x v="673"/>
  </r>
  <r>
    <n v="1703194"/>
    <n v="460"/>
    <s v="TRAFFIC (MOVING) VIOLATION"/>
    <x v="674"/>
  </r>
  <r>
    <n v="1703195"/>
    <n v="177"/>
    <s v="LIQUOR VIOLATION - INTOXICATED PERSON"/>
    <x v="675"/>
  </r>
  <r>
    <n v="1703196"/>
    <n v="245"/>
    <s v="DISTURBANCE, OTHER"/>
    <x v="676"/>
  </r>
  <r>
    <n v="1703197"/>
    <n v="245"/>
    <s v="DISTURBANCE, OTHER"/>
    <x v="677"/>
  </r>
  <r>
    <n v="1703198"/>
    <n v="350"/>
    <s v="HAZARDS"/>
    <x v="678"/>
  </r>
  <r>
    <n v="1703199"/>
    <n v="161"/>
    <s v="TRESPASS"/>
    <x v="679"/>
  </r>
  <r>
    <n v="1703200"/>
    <n v="280"/>
    <s v="SUSPICIOUS PERSON"/>
    <x v="678"/>
  </r>
  <r>
    <n v="1703201"/>
    <n v="250"/>
    <s v="MISCHIEF, NUISANCE COMPLAINTS"/>
    <x v="680"/>
  </r>
  <r>
    <n v="1703202"/>
    <n v="261"/>
    <s v="ANIMAL NOISE, STRAYS, BITES"/>
    <x v="681"/>
  </r>
  <r>
    <n v="1703203"/>
    <n v="280"/>
    <s v="SUSPICIOUS PERSON"/>
    <x v="682"/>
  </r>
  <r>
    <n v="1703204"/>
    <n v="183"/>
    <s v="NARCOTICS FOUND, RECOVERED"/>
    <x v="683"/>
  </r>
  <r>
    <n v="1703205"/>
    <n v="71"/>
    <s v="AUTO THEFT"/>
    <x v="684"/>
  </r>
  <r>
    <n v="1703206"/>
    <n v="53"/>
    <s v="BURGLARY - UNOCCUPIED STRUCTURE ON RESIDENTIAL PROPERTY"/>
    <x v="685"/>
  </r>
  <r>
    <n v="1703207"/>
    <n v="261"/>
    <s v="ANIMAL NOISE, STRAYS, BITES"/>
    <x v="686"/>
  </r>
  <r>
    <n v="1703209"/>
    <n v="244"/>
    <s v="NOISE DISTURBANCE"/>
    <x v="687"/>
  </r>
  <r>
    <n v="1703210"/>
    <n v="280"/>
    <s v="SUSPICIOUS PERSON"/>
    <x v="688"/>
  </r>
  <r>
    <n v="1703211"/>
    <n v="200"/>
    <s v="ALACAD - COMMERCIAL BURGLARY (FALSE)"/>
    <x v="689"/>
  </r>
  <r>
    <n v="1703212"/>
    <n v="161"/>
    <s v="TRESPASS"/>
    <x v="690"/>
  </r>
  <r>
    <n v="1703213"/>
    <n v="460"/>
    <s v="TRAFFIC (MOVING) VIOLATION"/>
    <x v="691"/>
  </r>
  <r>
    <n v="1703214"/>
    <n v="184"/>
    <s v="NARCOTICS, OTHER"/>
    <x v="692"/>
  </r>
  <r>
    <n v="1703215"/>
    <n v="430"/>
    <s v="MOTOR VEHICLE COLLISION"/>
    <x v="693"/>
  </r>
  <r>
    <n v="1703216"/>
    <n v="184"/>
    <s v="NARCOTICS, OTHER"/>
    <x v="692"/>
  </r>
  <r>
    <n v="1703217"/>
    <n v="245"/>
    <s v="DISTURBANCE, OTHER"/>
    <x v="694"/>
  </r>
  <r>
    <n v="1703218"/>
    <n v="40"/>
    <s v="ASSAULTS, OTHER"/>
    <x v="695"/>
  </r>
  <r>
    <n v="1703219"/>
    <n v="460"/>
    <s v="TRAFFIC (MOVING) VIOLATION"/>
    <x v="696"/>
  </r>
  <r>
    <n v="1703220"/>
    <n v="220"/>
    <s v="CRISIS COMPLAINT - GENERAL"/>
    <x v="697"/>
  </r>
  <r>
    <n v="1703221"/>
    <n v="40"/>
    <s v="ASSAULTS, OTHER"/>
    <x v="698"/>
  </r>
  <r>
    <n v="1703222"/>
    <n v="280"/>
    <s v="SUSPICIOUS PERSON"/>
    <x v="699"/>
  </r>
  <r>
    <n v="1703223"/>
    <n v="280"/>
    <s v="SUSPICIOUS PERSON"/>
    <x v="698"/>
  </r>
  <r>
    <n v="1703224"/>
    <n v="245"/>
    <s v="DISTURBANCE, OTHER"/>
    <x v="501"/>
  </r>
  <r>
    <n v="1703225"/>
    <n v="161"/>
    <s v="TRESPASS"/>
    <x v="700"/>
  </r>
  <r>
    <n v="1703226"/>
    <n v="280"/>
    <s v="SUSPICIOUS PERSON"/>
    <x v="701"/>
  </r>
  <r>
    <n v="1703227"/>
    <n v="460"/>
    <s v="TRAFFIC (MOVING) VIOLATION"/>
    <x v="702"/>
  </r>
  <r>
    <n v="1703228"/>
    <n v="177"/>
    <s v="LIQUOR VIOLATION - INTOXICATED PERSON"/>
    <x v="703"/>
  </r>
  <r>
    <n v="1703229"/>
    <n v="460"/>
    <s v="TRAFFIC (MOVING) VIOLATION"/>
    <x v="704"/>
  </r>
  <r>
    <n v="1703230"/>
    <n v="244"/>
    <s v="NOISE DISTURBANCE"/>
    <x v="705"/>
  </r>
  <r>
    <n v="1703231"/>
    <n v="201"/>
    <s v="ALACAD - RESIDENTIAL BURGLARY (FALSE)"/>
    <x v="706"/>
  </r>
  <r>
    <n v="1703232"/>
    <n v="460"/>
    <s v="TRAFFIC (MOVING) VIOLATION"/>
    <x v="707"/>
  </r>
  <r>
    <n v="1703233"/>
    <n v="200"/>
    <s v="ALACAD - COMMERCIAL BURGLARY (FALSE)"/>
    <x v="708"/>
  </r>
  <r>
    <n v="1703234"/>
    <n v="244"/>
    <s v="NOISE DISTURBANCE"/>
    <x v="709"/>
  </r>
  <r>
    <n v="1703235"/>
    <n v="200"/>
    <s v="ALACAD - COMMERCIAL BURGLARY (FALSE)"/>
    <x v="708"/>
  </r>
  <r>
    <n v="1703236"/>
    <n v="53"/>
    <s v="BURGLARY - UNOCCUPIED STRUCTURE ON RESIDENTIAL PROPERTY"/>
    <x v="710"/>
  </r>
  <r>
    <n v="1703237"/>
    <n v="281"/>
    <s v="SUSPICIOUS VEHICLE"/>
    <x v="711"/>
  </r>
  <r>
    <n v="1703238"/>
    <n v="244"/>
    <s v="NOISE DISTURBANCE"/>
    <x v="712"/>
  </r>
  <r>
    <n v="1703239"/>
    <n v="280"/>
    <s v="SUSPICIOUS PERSON"/>
    <x v="713"/>
  </r>
  <r>
    <n v="1703240"/>
    <n v="50"/>
    <s v="BURGLARY - RESIDENTIAL, UNOCCUPIED"/>
    <x v="714"/>
  </r>
  <r>
    <n v="1703241"/>
    <n v="350"/>
    <s v="HAZARDS"/>
    <x v="715"/>
  </r>
  <r>
    <n v="1703242"/>
    <n v="450"/>
    <s v="DRIVING WHILE UNDER INFLUENCE (DUI)"/>
    <x v="716"/>
  </r>
  <r>
    <n v="1703243"/>
    <n v="281"/>
    <s v="SUSPICIOUS VEHICLE"/>
    <x v="717"/>
  </r>
  <r>
    <n v="1703244"/>
    <n v="470"/>
    <s v="PARKING VIOLATION (EXCEPT ABANDONED VEHICLES)"/>
    <x v="718"/>
  </r>
  <r>
    <n v="1703245"/>
    <n v="245"/>
    <s v="DISTURBANCE, OTHER"/>
    <x v="719"/>
  </r>
  <r>
    <n v="1703246"/>
    <n v="201"/>
    <s v="ALACAD - RESIDENTIAL BURGLARY (FALSE)"/>
    <x v="720"/>
  </r>
  <r>
    <n v="1703247"/>
    <n v="220"/>
    <s v="CRISIS COMPLAINT - GENERAL"/>
    <x v="718"/>
  </r>
  <r>
    <n v="1703248"/>
    <n v="177"/>
    <s v="LIQUOR VIOLATION - INTOXICATED PERSON"/>
    <x v="721"/>
  </r>
  <r>
    <n v="1703249"/>
    <n v="460"/>
    <s v="TRAFFIC (MOVING) VIOLATION"/>
    <x v="722"/>
  </r>
  <r>
    <n v="1703250"/>
    <n v="244"/>
    <s v="NOISE DISTURBANCE"/>
    <x v="723"/>
  </r>
  <r>
    <n v="1703251"/>
    <n v="201"/>
    <s v="ALACAD - RESIDENTIAL BURGLARY (FALSE)"/>
    <x v="724"/>
  </r>
  <r>
    <n v="1703252"/>
    <n v="460"/>
    <s v="TRAFFIC (MOVING) VIOLATION"/>
    <x v="725"/>
  </r>
  <r>
    <n v="1703253"/>
    <n v="430"/>
    <s v="MOTOR VEHICLE COLLISION"/>
    <x v="721"/>
  </r>
  <r>
    <n v="1703254"/>
    <n v="465"/>
    <s v="PEDESTRIAN VIOLATION"/>
    <x v="726"/>
  </r>
  <r>
    <n v="1703255"/>
    <n v="244"/>
    <s v="NOISE DISTURBANCE"/>
    <x v="727"/>
  </r>
  <r>
    <n v="1703256"/>
    <n v="245"/>
    <s v="DISTURBANCE, OTHER"/>
    <x v="728"/>
  </r>
  <r>
    <n v="1703257"/>
    <n v="282"/>
    <s v="SUSPICIOUS CIRCUMSTANCES - BUILDING (OPEN DOOR, ETC.)"/>
    <x v="729"/>
  </r>
  <r>
    <n v="1703258"/>
    <n v="245"/>
    <s v="DISTURBANCE, OTHER"/>
    <x v="730"/>
  </r>
  <r>
    <n v="1703259"/>
    <n v="245"/>
    <s v="DISTURBANCE, OTHER"/>
    <x v="730"/>
  </r>
  <r>
    <n v="1703260"/>
    <n v="460"/>
    <s v="TRAFFIC (MOVING) VIOLATION"/>
    <x v="731"/>
  </r>
  <r>
    <n v="1703261"/>
    <n v="245"/>
    <s v="DISTURBANCE, OTHER"/>
    <x v="732"/>
  </r>
  <r>
    <n v="1703262"/>
    <n v="200"/>
    <s v="ALACAD - COMMERCIAL BURGLARY (FALSE)"/>
    <x v="733"/>
  </r>
  <r>
    <n v="1703263"/>
    <n v="161"/>
    <s v="TRESPASS"/>
    <x v="733"/>
  </r>
  <r>
    <n v="1703264"/>
    <n v="470"/>
    <s v="PARKING VIOLATION (EXCEPT ABANDONED VEHICLES)"/>
    <x v="729"/>
  </r>
  <r>
    <n v="1703265"/>
    <n v="280"/>
    <s v="SUSPICIOUS PERSON"/>
    <x v="734"/>
  </r>
  <r>
    <n v="1703266"/>
    <n v="200"/>
    <s v="ALACAD - COMMERCIAL BURGLARY (FALSE)"/>
    <x v="735"/>
  </r>
  <r>
    <n v="1703268"/>
    <n v="460"/>
    <s v="TRAFFIC (MOVING) VIOLATION"/>
    <x v="736"/>
  </r>
  <r>
    <n v="1703269"/>
    <n v="139"/>
    <s v="GANG GRAFFITI"/>
    <x v="737"/>
  </r>
  <r>
    <n v="1703270"/>
    <n v="244"/>
    <s v="NOISE DISTURBANCE"/>
    <x v="738"/>
  </r>
  <r>
    <n v="1703271"/>
    <n v="200"/>
    <s v="ALACAD - COMMERCIAL BURGLARY (FALSE)"/>
    <x v="739"/>
  </r>
  <r>
    <n v="1703272"/>
    <n v="250"/>
    <s v="MISCHIEF, NUISANCE COMPLAINTS"/>
    <x v="740"/>
  </r>
  <r>
    <n v="1703273"/>
    <n v="245"/>
    <s v="DISTURBANCE, OTHER"/>
    <x v="741"/>
  </r>
  <r>
    <n v="1703274"/>
    <n v="430"/>
    <s v="MOTOR VEHICLE COLLISION"/>
    <x v="742"/>
  </r>
  <r>
    <n v="1703275"/>
    <n v="200"/>
    <s v="ALACAD - COMMERCIAL BURGLARY (FALSE)"/>
    <x v="743"/>
  </r>
  <r>
    <n v="1703276"/>
    <n v="200"/>
    <s v="ALACAD - COMMERCIAL BURGLARY (FALSE)"/>
    <x v="744"/>
  </r>
  <r>
    <n v="1703277"/>
    <n v="200"/>
    <s v="ALACAD - COMMERCIAL BURGLARY (FALSE)"/>
    <x v="745"/>
  </r>
  <r>
    <n v="1703278"/>
    <n v="71"/>
    <s v="AUTO THEFT"/>
    <x v="746"/>
  </r>
  <r>
    <n v="1703279"/>
    <n v="470"/>
    <s v="PARKING VIOLATION (EXCEPT ABANDONED VEHICLES)"/>
    <x v="747"/>
  </r>
  <r>
    <n v="1703280"/>
    <n v="450"/>
    <s v="DRIVING WHILE UNDER INFLUENCE (DUI)"/>
    <x v="748"/>
  </r>
  <r>
    <n v="1703281"/>
    <n v="470"/>
    <s v="PARKING VIOLATION (EXCEPT ABANDONED VEHICLES)"/>
    <x v="749"/>
  </r>
  <r>
    <n v="1703282"/>
    <n v="250"/>
    <s v="MISCHIEF, NUISANCE COMPLAINTS"/>
    <x v="750"/>
  </r>
  <r>
    <n v="1703283"/>
    <n v="201"/>
    <s v="ALACAD - RESIDENTIAL BURGLARY (FALSE)"/>
    <x v="751"/>
  </r>
  <r>
    <n v="1703284"/>
    <n v="280"/>
    <s v="SUSPICIOUS PERSON"/>
    <x v="752"/>
  </r>
  <r>
    <n v="1703285"/>
    <n v="245"/>
    <s v="DISTURBANCE, OTHER"/>
    <x v="753"/>
  </r>
  <r>
    <n v="1703286"/>
    <n v="52"/>
    <s v="BURGLARY - COMMERCIAL"/>
    <x v="754"/>
  </r>
  <r>
    <n v="1703287"/>
    <n v="460"/>
    <s v="TRAFFIC (MOVING) VIOLATION"/>
    <x v="754"/>
  </r>
  <r>
    <n v="1703288"/>
    <n v="201"/>
    <s v="ALACAD - RESIDENTIAL BURGLARY (FALSE)"/>
    <x v="755"/>
  </r>
  <r>
    <n v="1703289"/>
    <n v="250"/>
    <s v="MISCHIEF, NUISANCE COMPLAINTS"/>
    <x v="756"/>
  </r>
  <r>
    <n v="1703290"/>
    <n v="64"/>
    <s v="SHOPLIFT"/>
    <x v="757"/>
  </r>
  <r>
    <n v="1703291"/>
    <n v="161"/>
    <s v="TRESPASS"/>
    <x v="758"/>
  </r>
  <r>
    <n v="1703292"/>
    <n v="250"/>
    <s v="MISCHIEF, NUISANCE COMPLAINTS"/>
    <x v="759"/>
  </r>
  <r>
    <n v="1703294"/>
    <n v="161"/>
    <s v="TRESPASS"/>
    <x v="760"/>
  </r>
  <r>
    <n v="1703295"/>
    <n v="470"/>
    <s v="PARKING VIOLATION (EXCEPT ABANDONED VEHICLES)"/>
    <x v="761"/>
  </r>
  <r>
    <n v="1703296"/>
    <n v="430"/>
    <s v="MOTOR VEHICLE COLLISION"/>
    <x v="762"/>
  </r>
  <r>
    <n v="1703297"/>
    <n v="30"/>
    <s v="ARMED ROBBERY"/>
    <x v="763"/>
  </r>
  <r>
    <n v="1703298"/>
    <n v="280"/>
    <s v="SUSPICIOUS PERSON"/>
    <x v="764"/>
  </r>
  <r>
    <n v="1703299"/>
    <n v="250"/>
    <s v="MISCHIEF, NUISANCE COMPLAINTS"/>
    <x v="765"/>
  </r>
  <r>
    <n v="1703300"/>
    <n v="280"/>
    <s v="SUSPICIOUS PERSON"/>
    <x v="766"/>
  </r>
  <r>
    <n v="1703301"/>
    <n v="470"/>
    <s v="PARKING VIOLATION (EXCEPT ABANDONED VEHICLES)"/>
    <x v="767"/>
  </r>
  <r>
    <n v="1703302"/>
    <n v="470"/>
    <s v="PARKING VIOLATION (EXCEPT ABANDONED VEHICLES)"/>
    <x v="768"/>
  </r>
  <r>
    <n v="1703303"/>
    <n v="415"/>
    <s v="BLOCKING VEHICLE"/>
    <x v="769"/>
  </r>
  <r>
    <n v="1703304"/>
    <n v="245"/>
    <s v="DISTURBANCE, OTHER"/>
    <x v="770"/>
  </r>
  <r>
    <n v="1703305"/>
    <n v="280"/>
    <s v="SUSPICIOUS PERSON"/>
    <x v="771"/>
  </r>
  <r>
    <n v="1703306"/>
    <n v="460"/>
    <s v="TRAFFIC (MOVING) VIOLATION"/>
    <x v="770"/>
  </r>
  <r>
    <n v="1703307"/>
    <n v="280"/>
    <s v="SUSPICIOUS PERSON"/>
    <x v="772"/>
  </r>
  <r>
    <n v="1703308"/>
    <n v="280"/>
    <s v="SUSPICIOUS PERSON"/>
    <x v="773"/>
  </r>
  <r>
    <n v="1703309"/>
    <n v="41"/>
    <s v="HARASSMENT, THREATS"/>
    <x v="771"/>
  </r>
  <r>
    <n v="1703310"/>
    <n v="460"/>
    <s v="TRAFFIC (MOVING) VIOLATION"/>
    <x v="774"/>
  </r>
  <r>
    <n v="1703311"/>
    <n v="245"/>
    <s v="DISTURBANCE, OTHER"/>
    <x v="775"/>
  </r>
  <r>
    <n v="1703312"/>
    <n v="280"/>
    <s v="SUSPICIOUS PERSON"/>
    <x v="770"/>
  </r>
  <r>
    <n v="1703313"/>
    <n v="470"/>
    <s v="PARKING VIOLATION (EXCEPT ABANDONED VEHICLES)"/>
    <x v="776"/>
  </r>
  <r>
    <n v="1703314"/>
    <n v="250"/>
    <s v="MISCHIEF, NUISANCE COMPLAINTS"/>
    <x v="777"/>
  </r>
  <r>
    <n v="1703315"/>
    <n v="40"/>
    <s v="ASSAULTS, OTHER"/>
    <x v="778"/>
  </r>
  <r>
    <n v="1703316"/>
    <n v="430"/>
    <s v="MOTOR VEHICLE COLLISION"/>
    <x v="776"/>
  </r>
  <r>
    <n v="1703317"/>
    <n v="130"/>
    <s v="PROPERTY DESTRUCTION"/>
    <x v="778"/>
  </r>
  <r>
    <n v="1703318"/>
    <n v="280"/>
    <s v="SUSPICIOUS PERSON"/>
    <x v="779"/>
  </r>
  <r>
    <n v="1703319"/>
    <n v="52"/>
    <s v="BURGLARY - COMMERCIAL"/>
    <x v="780"/>
  </r>
  <r>
    <n v="1703320"/>
    <n v="161"/>
    <s v="TRESPASS"/>
    <x v="781"/>
  </r>
  <r>
    <n v="1703321"/>
    <n v="161"/>
    <s v="TRESPASS"/>
    <x v="780"/>
  </r>
  <r>
    <n v="1703322"/>
    <n v="63"/>
    <s v="THEFT - CAR PROWL"/>
    <x v="780"/>
  </r>
  <r>
    <n v="1703323"/>
    <n v="470"/>
    <s v="PARKING VIOLATION (EXCEPT ABANDONED VEHICLES)"/>
    <x v="781"/>
  </r>
  <r>
    <n v="1703324"/>
    <n v="160"/>
    <s v="PROWLER"/>
    <x v="780"/>
  </r>
  <r>
    <n v="1703325"/>
    <n v="220"/>
    <s v="CRISIS COMPLAINT - GENERAL"/>
    <x v="782"/>
  </r>
  <r>
    <n v="1703326"/>
    <n v="430"/>
    <s v="MOTOR VEHICLE COLLISION"/>
    <x v="783"/>
  </r>
  <r>
    <n v="1703327"/>
    <n v="220"/>
    <s v="CRISIS COMPLAINT - GENERAL"/>
    <x v="784"/>
  </r>
  <r>
    <n v="1703328"/>
    <n v="470"/>
    <s v="PARKING VIOLATION (EXCEPT ABANDONED VEHICLES)"/>
    <x v="785"/>
  </r>
  <r>
    <n v="1703329"/>
    <n v="470"/>
    <s v="PARKING VIOLATION (EXCEPT ABANDONED VEHICLES)"/>
    <x v="786"/>
  </r>
  <r>
    <n v="1703330"/>
    <n v="64"/>
    <s v="SHOPLIFT"/>
    <x v="787"/>
  </r>
  <r>
    <n v="1703331"/>
    <n v="245"/>
    <s v="DISTURBANCE, OTHER"/>
    <x v="788"/>
  </r>
  <r>
    <n v="1703332"/>
    <n v="64"/>
    <s v="SHOPLIFT"/>
    <x v="789"/>
  </r>
  <r>
    <n v="1703333"/>
    <n v="245"/>
    <s v="DISTURBANCE, OTHER"/>
    <x v="790"/>
  </r>
  <r>
    <n v="1703334"/>
    <n v="280"/>
    <s v="SUSPICIOUS PERSON"/>
    <x v="791"/>
  </r>
  <r>
    <n v="1703335"/>
    <n v="470"/>
    <s v="PARKING VIOLATION (EXCEPT ABANDONED VEHICLES)"/>
    <x v="792"/>
  </r>
  <r>
    <n v="1703336"/>
    <n v="470"/>
    <s v="PARKING VIOLATION (EXCEPT ABANDONED VEHICLES)"/>
    <x v="793"/>
  </r>
  <r>
    <n v="1703337"/>
    <n v="64"/>
    <s v="SHOPLIFT"/>
    <x v="794"/>
  </r>
  <r>
    <n v="1703338"/>
    <n v="101"/>
    <s v="FORGERY, BAD CHECKS"/>
    <x v="795"/>
  </r>
  <r>
    <n v="1703339"/>
    <n v="430"/>
    <s v="MOTOR VEHICLE COLLISION"/>
    <x v="796"/>
  </r>
  <r>
    <n v="1703340"/>
    <n v="63"/>
    <s v="THEFT - CAR PROWL"/>
    <x v="797"/>
  </r>
  <r>
    <n v="1703341"/>
    <n v="470"/>
    <s v="PARKING VIOLATION (EXCEPT ABANDONED VEHICLES)"/>
    <x v="798"/>
  </r>
  <r>
    <n v="1703342"/>
    <n v="470"/>
    <s v="PARKING VIOLATION (EXCEPT ABANDONED VEHICLES)"/>
    <x v="799"/>
  </r>
  <r>
    <n v="1703343"/>
    <n v="176"/>
    <s v="LIQUOR VIOLATION - ADULT"/>
    <x v="800"/>
  </r>
  <r>
    <n v="1703344"/>
    <n v="161"/>
    <s v="TRESPASS"/>
    <x v="801"/>
  </r>
  <r>
    <n v="1703345"/>
    <n v="63"/>
    <s v="THEFT - CAR PROWL"/>
    <x v="797"/>
  </r>
  <r>
    <n v="1703346"/>
    <n v="130"/>
    <s v="PROPERTY DESTRUCTION"/>
    <x v="802"/>
  </r>
  <r>
    <n v="1703347"/>
    <n v="245"/>
    <s v="DISTURBANCE, OTHER"/>
    <x v="803"/>
  </r>
  <r>
    <n v="1703348"/>
    <n v="52"/>
    <s v="BURGLARY - COMMERCIAL"/>
    <x v="801"/>
  </r>
  <r>
    <n v="1703349"/>
    <n v="245"/>
    <s v="DISTURBANCE, OTHER"/>
    <x v="804"/>
  </r>
  <r>
    <n v="1703350"/>
    <n v="177"/>
    <s v="LIQUOR VIOLATION - INTOXICATED PERSON"/>
    <x v="805"/>
  </r>
  <r>
    <n v="1703351"/>
    <n v="281"/>
    <s v="SUSPICIOUS VEHICLE"/>
    <x v="806"/>
  </r>
  <r>
    <n v="1703352"/>
    <n v="280"/>
    <s v="SUSPICIOUS PERSON"/>
    <x v="807"/>
  </r>
  <r>
    <n v="1703354"/>
    <n v="460"/>
    <s v="TRAFFIC (MOVING) VIOLATION"/>
    <x v="808"/>
  </r>
  <r>
    <n v="1703355"/>
    <n v="430"/>
    <s v="MOTOR VEHICLE COLLISION"/>
    <x v="809"/>
  </r>
  <r>
    <n v="1703356"/>
    <n v="470"/>
    <s v="PARKING VIOLATION (EXCEPT ABANDONED VEHICLES)"/>
    <x v="810"/>
  </r>
  <r>
    <n v="1703357"/>
    <n v="41"/>
    <s v="HARASSMENT, THREATS"/>
    <x v="811"/>
  </r>
  <r>
    <n v="1703358"/>
    <n v="71"/>
    <s v="AUTO THEFT"/>
    <x v="812"/>
  </r>
  <r>
    <n v="1703359"/>
    <n v="330"/>
    <s v="CASUALTY (NON CRIMINAL/TRAFFIC) - MAN DOWN, SICK PERSONS, INJURED, DOA)"/>
    <x v="808"/>
  </r>
  <r>
    <n v="1703360"/>
    <n v="371"/>
    <s v="PROPERTY - MISSING"/>
    <x v="813"/>
  </r>
  <r>
    <n v="1703361"/>
    <n v="63"/>
    <s v="THEFT - CAR PROWL"/>
    <x v="814"/>
  </r>
  <r>
    <n v="1703362"/>
    <n v="430"/>
    <s v="MOTOR VEHICLE COLLISION"/>
    <x v="815"/>
  </r>
  <r>
    <n v="1703363"/>
    <n v="460"/>
    <s v="TRAFFIC (MOVING) VIOLATION"/>
    <x v="816"/>
  </r>
  <r>
    <n v="1703364"/>
    <n v="202"/>
    <s v="ALACAD - COMMERCIAL PANIC (FALSE)"/>
    <x v="817"/>
  </r>
  <r>
    <n v="1703365"/>
    <n v="470"/>
    <s v="PARKING VIOLATION (EXCEPT ABANDONED VEHICLES)"/>
    <x v="818"/>
  </r>
  <r>
    <n v="1703366"/>
    <n v="245"/>
    <s v="DISTURBANCE, OTHER"/>
    <x v="819"/>
  </r>
  <r>
    <n v="1703367"/>
    <n v="470"/>
    <s v="PARKING VIOLATION (EXCEPT ABANDONED VEHICLES)"/>
    <x v="817"/>
  </r>
  <r>
    <n v="1703368"/>
    <n v="63"/>
    <s v="THEFT - CAR PROWL"/>
    <x v="820"/>
  </r>
  <r>
    <n v="1703369"/>
    <n v="245"/>
    <s v="DISTURBANCE, OTHER"/>
    <x v="821"/>
  </r>
  <r>
    <n v="1703370"/>
    <n v="245"/>
    <s v="DISTURBANCE, OTHER"/>
    <x v="820"/>
  </r>
  <r>
    <n v="1703371"/>
    <n v="52"/>
    <s v="BURGLARY - COMMERCIAL"/>
    <x v="820"/>
  </r>
  <r>
    <n v="1703372"/>
    <n v="280"/>
    <s v="SUSPICIOUS PERSON"/>
    <x v="822"/>
  </r>
  <r>
    <n v="1703373"/>
    <n v="281"/>
    <s v="SUSPICIOUS VEHICLE"/>
    <x v="823"/>
  </r>
  <r>
    <n v="1703374"/>
    <n v="73"/>
    <s v="AUTO RECOVERY"/>
    <x v="821"/>
  </r>
  <r>
    <n v="1703375"/>
    <n v="250"/>
    <s v="MISCHIEF, NUISANCE COMPLAINTS"/>
    <x v="824"/>
  </r>
  <r>
    <n v="1703376"/>
    <n v="245"/>
    <s v="DISTURBANCE, OTHER"/>
    <x v="822"/>
  </r>
  <r>
    <n v="1703377"/>
    <n v="470"/>
    <s v="PARKING VIOLATION (EXCEPT ABANDONED VEHICLES)"/>
    <x v="822"/>
  </r>
  <r>
    <n v="1703378"/>
    <n v="470"/>
    <s v="PARKING VIOLATION (EXCEPT ABANDONED VEHICLES)"/>
    <x v="825"/>
  </r>
  <r>
    <n v="1703379"/>
    <n v="470"/>
    <s v="PARKING VIOLATION (EXCEPT ABANDONED VEHICLES)"/>
    <x v="822"/>
  </r>
  <r>
    <n v="1703380"/>
    <n v="280"/>
    <s v="SUSPICIOUS PERSON"/>
    <x v="826"/>
  </r>
  <r>
    <n v="1703381"/>
    <n v="460"/>
    <s v="TRAFFIC (MOVING) VIOLATION"/>
    <x v="826"/>
  </r>
  <r>
    <n v="1703382"/>
    <n v="430"/>
    <s v="MOTOR VEHICLE COLLISION"/>
    <x v="8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A4310-4CF5-466A-9811-6DFE193C1017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 rowHeaderCaption="Date">
  <location ref="A1:B5" firstHeaderRow="1" firstDataRow="1" firstDataCol="1"/>
  <pivotFields count="6">
    <pivotField dataField="1" showAll="0"/>
    <pivotField showAll="0"/>
    <pivotField showAll="0"/>
    <pivotField axis="axisRow"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3">
    <field x="5"/>
    <field x="4"/>
    <field x="3"/>
  </rowFields>
  <rowItems count="4">
    <i>
      <x v="86"/>
    </i>
    <i>
      <x v="87"/>
    </i>
    <i>
      <x v="88"/>
    </i>
    <i t="grand">
      <x/>
    </i>
  </rowItems>
  <colItems count="1">
    <i/>
  </colItems>
  <dataFields count="1">
    <dataField name="Count of Events" fld="0" subtotal="count" baseField="4" baseItem="86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AFC4B-37F7-4B5F-9BD2-BAB5C9D4BF65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 rowHeaderCaption="Event Type">
  <location ref="A1:B67" firstHeaderRow="1" firstDataRow="1" firstDataCol="1"/>
  <pivotFields count="3">
    <pivotField dataField="1" showAll="0"/>
    <pivotField showAll="0"/>
    <pivotField axis="axisRow" showAll="0" sortType="ascending">
      <items count="66">
        <item x="24"/>
        <item x="32"/>
        <item x="48"/>
        <item x="7"/>
        <item x="29"/>
        <item x="34"/>
        <item x="49"/>
        <item x="47"/>
        <item x="21"/>
        <item x="51"/>
        <item x="25"/>
        <item x="44"/>
        <item x="36"/>
        <item x="9"/>
        <item x="20"/>
        <item x="35"/>
        <item x="27"/>
        <item x="54"/>
        <item x="31"/>
        <item x="62"/>
        <item x="6"/>
        <item x="41"/>
        <item x="63"/>
        <item x="0"/>
        <item x="61"/>
        <item x="22"/>
        <item x="33"/>
        <item x="23"/>
        <item x="19"/>
        <item x="37"/>
        <item x="60"/>
        <item x="53"/>
        <item x="18"/>
        <item x="5"/>
        <item x="11"/>
        <item x="55"/>
        <item x="10"/>
        <item x="38"/>
        <item x="12"/>
        <item x="13"/>
        <item x="45"/>
        <item x="50"/>
        <item x="64"/>
        <item x="14"/>
        <item x="26"/>
        <item x="43"/>
        <item x="42"/>
        <item x="1"/>
        <item x="40"/>
        <item x="57"/>
        <item x="30"/>
        <item x="15"/>
        <item x="58"/>
        <item x="39"/>
        <item x="56"/>
        <item x="59"/>
        <item x="28"/>
        <item x="46"/>
        <item x="52"/>
        <item x="3"/>
        <item x="4"/>
        <item x="16"/>
        <item x="8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6">
    <i>
      <x v="30"/>
    </i>
    <i>
      <x v="28"/>
    </i>
    <i>
      <x v="50"/>
    </i>
    <i>
      <x v="55"/>
    </i>
    <i>
      <x v="19"/>
    </i>
    <i>
      <x v="41"/>
    </i>
    <i>
      <x v="6"/>
    </i>
    <i>
      <x v="42"/>
    </i>
    <i>
      <x v="22"/>
    </i>
    <i>
      <x v="48"/>
    </i>
    <i>
      <x v="31"/>
    </i>
    <i>
      <x v="37"/>
    </i>
    <i>
      <x v="24"/>
    </i>
    <i>
      <x v="11"/>
    </i>
    <i>
      <x v="43"/>
    </i>
    <i>
      <x v="52"/>
    </i>
    <i>
      <x v="57"/>
    </i>
    <i>
      <x v="40"/>
    </i>
    <i>
      <x v="5"/>
    </i>
    <i>
      <x v="35"/>
    </i>
    <i>
      <x v="26"/>
    </i>
    <i>
      <x v="38"/>
    </i>
    <i>
      <x v="49"/>
    </i>
    <i>
      <x v="9"/>
    </i>
    <i>
      <x v="14"/>
    </i>
    <i>
      <x v="54"/>
    </i>
    <i>
      <x v="2"/>
    </i>
    <i>
      <x v="12"/>
    </i>
    <i>
      <x/>
    </i>
    <i>
      <x v="25"/>
    </i>
    <i>
      <x v="16"/>
    </i>
    <i>
      <x v="32"/>
    </i>
    <i>
      <x v="17"/>
    </i>
    <i>
      <x v="7"/>
    </i>
    <i>
      <x v="33"/>
    </i>
    <i>
      <x v="46"/>
    </i>
    <i>
      <x v="27"/>
    </i>
    <i>
      <x v="44"/>
    </i>
    <i>
      <x v="4"/>
    </i>
    <i>
      <x v="13"/>
    </i>
    <i>
      <x v="15"/>
    </i>
    <i>
      <x v="51"/>
    </i>
    <i>
      <x v="58"/>
    </i>
    <i>
      <x v="23"/>
    </i>
    <i>
      <x v="29"/>
    </i>
    <i>
      <x v="53"/>
    </i>
    <i>
      <x v="10"/>
    </i>
    <i>
      <x v="62"/>
    </i>
    <i>
      <x v="21"/>
    </i>
    <i>
      <x v="56"/>
    </i>
    <i>
      <x v="3"/>
    </i>
    <i>
      <x v="8"/>
    </i>
    <i>
      <x v="45"/>
    </i>
    <i>
      <x v="18"/>
    </i>
    <i>
      <x v="1"/>
    </i>
    <i>
      <x v="60"/>
    </i>
    <i>
      <x v="36"/>
    </i>
    <i>
      <x v="34"/>
    </i>
    <i>
      <x v="61"/>
    </i>
    <i>
      <x v="64"/>
    </i>
    <i>
      <x v="39"/>
    </i>
    <i>
      <x v="63"/>
    </i>
    <i>
      <x v="47"/>
    </i>
    <i>
      <x v="59"/>
    </i>
    <i>
      <x v="20"/>
    </i>
    <i t="grand">
      <x/>
    </i>
  </rowItems>
  <colItems count="1">
    <i/>
  </colItems>
  <dataFields count="1">
    <dataField name="Count of Events" fld="0" subtotal="count" baseField="0" baseItem="92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0D06C-C5A1-4748-98C2-A5B2F1CBEEC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Sector">
  <location ref="A1:B20" firstHeaderRow="1" firstDataRow="1" firstDataCol="1"/>
  <pivotFields count="5">
    <pivotField dataField="1" showAll="0"/>
    <pivotField showAll="0"/>
    <pivotField showAll="0"/>
    <pivotField numFmtId="22" showAll="0"/>
    <pivotField axis="axisRow" showAll="0">
      <items count="21">
        <item x="12"/>
        <item x="5"/>
        <item x="13"/>
        <item x="7"/>
        <item x="15"/>
        <item x="1"/>
        <item x="11"/>
        <item x="8"/>
        <item x="6"/>
        <item x="16"/>
        <item x="10"/>
        <item x="17"/>
        <item x="2"/>
        <item x="3"/>
        <item x="0"/>
        <item x="4"/>
        <item x="14"/>
        <item x="9"/>
        <item m="1" x="18"/>
        <item m="1" x="19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Events" fld="0" subtotal="count" baseField="0" baseItem="1752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6"/>
  <sheetViews>
    <sheetView tabSelected="1" workbookViewId="0">
      <pane ySplit="1" topLeftCell="A2" activePane="bottomLeft" state="frozen"/>
      <selection activeCell="F1" sqref="F1"/>
      <selection pane="bottomLeft" activeCell="C11" sqref="C11"/>
    </sheetView>
  </sheetViews>
  <sheetFormatPr defaultColWidth="63.85546875" defaultRowHeight="15" x14ac:dyDescent="0.25"/>
  <cols>
    <col min="1" max="1" width="13" bestFit="1" customWidth="1"/>
    <col min="2" max="2" width="20.5703125" bestFit="1" customWidth="1"/>
    <col min="3" max="3" width="67" bestFit="1" customWidth="1"/>
    <col min="4" max="4" width="20.28515625" bestFit="1" customWidth="1"/>
    <col min="5" max="5" width="14.5703125" bestFit="1" customWidth="1"/>
    <col min="6" max="6" width="11.42578125" bestFit="1" customWidth="1"/>
    <col min="7" max="7" width="11.28515625" bestFit="1" customWidth="1"/>
    <col min="8" max="8" width="9.7109375" bestFit="1" customWidth="1"/>
    <col min="9" max="9" width="21.5703125" bestFit="1" customWidth="1"/>
    <col min="10" max="10" width="22.42578125" bestFit="1" customWidth="1"/>
    <col min="11" max="11" width="19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992</v>
      </c>
      <c r="K1" s="2" t="s">
        <v>9</v>
      </c>
    </row>
    <row r="2" spans="1:11" x14ac:dyDescent="0.25">
      <c r="A2">
        <v>1702311</v>
      </c>
      <c r="B2">
        <v>242</v>
      </c>
      <c r="C2" t="s">
        <v>10</v>
      </c>
      <c r="D2" s="1">
        <v>42455.720138888886</v>
      </c>
      <c r="E2" t="s">
        <v>11</v>
      </c>
      <c r="F2" t="s">
        <v>12</v>
      </c>
      <c r="G2">
        <v>-122.284904</v>
      </c>
      <c r="H2">
        <v>47.561256</v>
      </c>
      <c r="I2" t="s">
        <v>13</v>
      </c>
      <c r="J2">
        <f t="shared" ref="J2:J65" si="0">COUNTIF($I$2:$I$1046,I2)</f>
        <v>1</v>
      </c>
      <c r="K2">
        <v>2</v>
      </c>
    </row>
    <row r="3" spans="1:11" x14ac:dyDescent="0.25">
      <c r="A3">
        <v>1702312</v>
      </c>
      <c r="B3">
        <v>470</v>
      </c>
      <c r="C3" t="s">
        <v>14</v>
      </c>
      <c r="D3" s="1">
        <v>42455.71875</v>
      </c>
      <c r="E3" t="s">
        <v>15</v>
      </c>
      <c r="F3" t="s">
        <v>16</v>
      </c>
      <c r="G3">
        <v>-122.29492999999999</v>
      </c>
      <c r="H3">
        <v>47.604194999999997</v>
      </c>
      <c r="I3" t="s">
        <v>17</v>
      </c>
      <c r="J3">
        <f t="shared" si="0"/>
        <v>1</v>
      </c>
      <c r="K3">
        <v>2</v>
      </c>
    </row>
    <row r="4" spans="1:11" x14ac:dyDescent="0.25">
      <c r="A4">
        <v>1702316</v>
      </c>
      <c r="B4">
        <v>460</v>
      </c>
      <c r="C4" t="s">
        <v>18</v>
      </c>
      <c r="D4" s="1">
        <v>42455.72152777778</v>
      </c>
      <c r="E4" t="s">
        <v>19</v>
      </c>
      <c r="F4" t="s">
        <v>20</v>
      </c>
      <c r="G4">
        <v>-122.33524</v>
      </c>
      <c r="H4">
        <v>47.571579999999997</v>
      </c>
      <c r="I4" t="s">
        <v>21</v>
      </c>
      <c r="J4">
        <f t="shared" si="0"/>
        <v>1</v>
      </c>
      <c r="K4">
        <v>0</v>
      </c>
    </row>
    <row r="5" spans="1:11" x14ac:dyDescent="0.25">
      <c r="A5">
        <v>1702317</v>
      </c>
      <c r="B5">
        <v>280</v>
      </c>
      <c r="C5" t="s">
        <v>22</v>
      </c>
      <c r="D5" s="1">
        <v>42455.726388888892</v>
      </c>
      <c r="E5" t="s">
        <v>23</v>
      </c>
      <c r="F5" t="s">
        <v>24</v>
      </c>
      <c r="G5">
        <v>-122.40237</v>
      </c>
      <c r="H5">
        <v>47.640357999999999</v>
      </c>
      <c r="I5" t="s">
        <v>25</v>
      </c>
      <c r="J5">
        <f t="shared" si="0"/>
        <v>1</v>
      </c>
      <c r="K5">
        <v>2</v>
      </c>
    </row>
    <row r="6" spans="1:11" x14ac:dyDescent="0.25">
      <c r="A6">
        <v>1702318</v>
      </c>
      <c r="B6">
        <v>281</v>
      </c>
      <c r="C6" t="s">
        <v>26</v>
      </c>
      <c r="D6" s="1">
        <v>42455.72152777778</v>
      </c>
      <c r="E6" t="s">
        <v>15</v>
      </c>
      <c r="F6" t="s">
        <v>16</v>
      </c>
      <c r="G6">
        <v>-122.30109</v>
      </c>
      <c r="H6">
        <v>47.604320000000001</v>
      </c>
      <c r="I6" t="s">
        <v>27</v>
      </c>
      <c r="J6">
        <f t="shared" si="0"/>
        <v>1</v>
      </c>
      <c r="K6">
        <v>1</v>
      </c>
    </row>
    <row r="7" spans="1:11" x14ac:dyDescent="0.25">
      <c r="A7">
        <v>1702319</v>
      </c>
      <c r="B7">
        <v>176</v>
      </c>
      <c r="C7" t="s">
        <v>28</v>
      </c>
      <c r="D7" s="1">
        <v>42455.720138888886</v>
      </c>
      <c r="E7" t="s">
        <v>29</v>
      </c>
      <c r="F7" t="s">
        <v>30</v>
      </c>
      <c r="G7">
        <v>-122.26803</v>
      </c>
      <c r="H7">
        <v>47.519849999999998</v>
      </c>
      <c r="I7" t="s">
        <v>31</v>
      </c>
      <c r="J7">
        <f t="shared" si="0"/>
        <v>1</v>
      </c>
      <c r="K7">
        <v>2</v>
      </c>
    </row>
    <row r="8" spans="1:11" x14ac:dyDescent="0.25">
      <c r="A8">
        <v>1702321</v>
      </c>
      <c r="B8">
        <v>245</v>
      </c>
      <c r="C8" t="s">
        <v>32</v>
      </c>
      <c r="D8" s="1">
        <v>42455.720833333333</v>
      </c>
      <c r="E8" t="s">
        <v>11</v>
      </c>
      <c r="F8" t="s">
        <v>33</v>
      </c>
      <c r="G8">
        <v>-122.29916</v>
      </c>
      <c r="H8">
        <v>47.579673999999997</v>
      </c>
      <c r="I8" t="s">
        <v>34</v>
      </c>
      <c r="J8">
        <f t="shared" si="0"/>
        <v>4</v>
      </c>
      <c r="K8">
        <v>3</v>
      </c>
    </row>
    <row r="9" spans="1:11" x14ac:dyDescent="0.25">
      <c r="A9">
        <v>1702322</v>
      </c>
      <c r="B9">
        <v>201</v>
      </c>
      <c r="C9" t="s">
        <v>36</v>
      </c>
      <c r="D9" s="1">
        <v>42455.720138888886</v>
      </c>
      <c r="E9" t="s">
        <v>29</v>
      </c>
      <c r="F9" t="s">
        <v>30</v>
      </c>
      <c r="G9">
        <v>-122.25063</v>
      </c>
      <c r="H9">
        <v>47.506385999999999</v>
      </c>
      <c r="I9" t="s">
        <v>37</v>
      </c>
      <c r="J9">
        <f t="shared" si="0"/>
        <v>1</v>
      </c>
      <c r="K9">
        <v>1</v>
      </c>
    </row>
    <row r="10" spans="1:11" x14ac:dyDescent="0.25">
      <c r="A10">
        <v>1702323</v>
      </c>
      <c r="B10">
        <v>245</v>
      </c>
      <c r="C10" t="s">
        <v>32</v>
      </c>
      <c r="D10" s="1">
        <v>42455.720833333333</v>
      </c>
      <c r="E10" t="s">
        <v>19</v>
      </c>
      <c r="F10" t="s">
        <v>20</v>
      </c>
      <c r="G10">
        <v>-122.32905599999999</v>
      </c>
      <c r="H10">
        <v>47.579807000000002</v>
      </c>
      <c r="I10" t="s">
        <v>38</v>
      </c>
      <c r="J10">
        <f t="shared" si="0"/>
        <v>2</v>
      </c>
      <c r="K10">
        <v>3</v>
      </c>
    </row>
    <row r="11" spans="1:11" x14ac:dyDescent="0.25">
      <c r="A11">
        <v>1702324</v>
      </c>
      <c r="B11">
        <v>65</v>
      </c>
      <c r="C11" t="s">
        <v>39</v>
      </c>
      <c r="D11" s="1">
        <v>42455.718055555553</v>
      </c>
      <c r="E11" t="s">
        <v>40</v>
      </c>
      <c r="F11" t="s">
        <v>41</v>
      </c>
      <c r="G11">
        <v>-122.31459</v>
      </c>
      <c r="H11">
        <v>47.627274</v>
      </c>
      <c r="I11" t="s">
        <v>42</v>
      </c>
      <c r="J11">
        <f t="shared" si="0"/>
        <v>1</v>
      </c>
      <c r="K11">
        <v>1</v>
      </c>
    </row>
    <row r="12" spans="1:11" x14ac:dyDescent="0.25">
      <c r="A12">
        <v>1702325</v>
      </c>
      <c r="B12">
        <v>245</v>
      </c>
      <c r="C12" t="s">
        <v>32</v>
      </c>
      <c r="D12" s="1">
        <v>42455.73333333333</v>
      </c>
      <c r="E12" t="s">
        <v>43</v>
      </c>
      <c r="F12" t="s">
        <v>44</v>
      </c>
      <c r="G12">
        <v>-122.33081</v>
      </c>
      <c r="H12">
        <v>47.600464000000002</v>
      </c>
      <c r="I12" t="s">
        <v>45</v>
      </c>
      <c r="J12">
        <f t="shared" si="0"/>
        <v>17</v>
      </c>
      <c r="K12">
        <v>3</v>
      </c>
    </row>
    <row r="13" spans="1:11" x14ac:dyDescent="0.25">
      <c r="A13">
        <v>1702326</v>
      </c>
      <c r="B13">
        <v>280</v>
      </c>
      <c r="C13" t="s">
        <v>22</v>
      </c>
      <c r="D13" s="1">
        <v>42455.729861111111</v>
      </c>
      <c r="E13" t="s">
        <v>11</v>
      </c>
      <c r="F13" t="s">
        <v>12</v>
      </c>
      <c r="G13">
        <v>-122.27538</v>
      </c>
      <c r="H13">
        <v>47.551909999999999</v>
      </c>
      <c r="I13" t="s">
        <v>46</v>
      </c>
      <c r="J13">
        <f t="shared" si="0"/>
        <v>1</v>
      </c>
      <c r="K13">
        <v>2</v>
      </c>
    </row>
    <row r="14" spans="1:11" x14ac:dyDescent="0.25">
      <c r="A14">
        <v>1702327</v>
      </c>
      <c r="B14">
        <v>460</v>
      </c>
      <c r="C14" t="s">
        <v>18</v>
      </c>
      <c r="D14" s="1">
        <v>42455.728472222225</v>
      </c>
      <c r="E14" t="s">
        <v>47</v>
      </c>
      <c r="F14" t="s">
        <v>48</v>
      </c>
      <c r="G14">
        <v>-122.31683</v>
      </c>
      <c r="H14">
        <v>47.614105000000002</v>
      </c>
      <c r="I14" t="s">
        <v>49</v>
      </c>
      <c r="J14">
        <f t="shared" si="0"/>
        <v>1</v>
      </c>
      <c r="K14">
        <v>0</v>
      </c>
    </row>
    <row r="15" spans="1:11" x14ac:dyDescent="0.25">
      <c r="A15">
        <v>1702328</v>
      </c>
      <c r="B15">
        <v>280</v>
      </c>
      <c r="C15" t="s">
        <v>22</v>
      </c>
      <c r="D15" s="1">
        <v>42455.727777777778</v>
      </c>
      <c r="E15" t="s">
        <v>19</v>
      </c>
      <c r="F15" t="s">
        <v>50</v>
      </c>
      <c r="G15">
        <v>-122.32896</v>
      </c>
      <c r="H15">
        <v>47.555633999999998</v>
      </c>
      <c r="I15" t="s">
        <v>51</v>
      </c>
      <c r="J15">
        <f t="shared" si="0"/>
        <v>1</v>
      </c>
      <c r="K15">
        <v>3</v>
      </c>
    </row>
    <row r="16" spans="1:11" x14ac:dyDescent="0.25">
      <c r="A16">
        <v>1702329</v>
      </c>
      <c r="B16">
        <v>245</v>
      </c>
      <c r="C16" t="s">
        <v>32</v>
      </c>
      <c r="D16" s="1">
        <v>42455.729166666664</v>
      </c>
      <c r="E16" t="s">
        <v>52</v>
      </c>
      <c r="F16" t="s">
        <v>53</v>
      </c>
      <c r="G16">
        <v>-122.3553</v>
      </c>
      <c r="H16">
        <v>47.689835000000002</v>
      </c>
      <c r="I16" t="s">
        <v>54</v>
      </c>
      <c r="J16">
        <f t="shared" si="0"/>
        <v>1</v>
      </c>
      <c r="K16">
        <v>3</v>
      </c>
    </row>
    <row r="17" spans="1:11" x14ac:dyDescent="0.25">
      <c r="A17">
        <v>1702330</v>
      </c>
      <c r="B17">
        <v>281</v>
      </c>
      <c r="C17" t="s">
        <v>26</v>
      </c>
      <c r="D17" s="1">
        <v>42455.728472222225</v>
      </c>
      <c r="E17" t="s">
        <v>29</v>
      </c>
      <c r="F17" t="s">
        <v>55</v>
      </c>
      <c r="G17">
        <v>-122.26991</v>
      </c>
      <c r="H17">
        <v>47.542492000000003</v>
      </c>
      <c r="I17" t="s">
        <v>56</v>
      </c>
      <c r="J17">
        <f t="shared" si="0"/>
        <v>1</v>
      </c>
      <c r="K17">
        <v>3</v>
      </c>
    </row>
    <row r="18" spans="1:11" x14ac:dyDescent="0.25">
      <c r="A18">
        <v>1702331</v>
      </c>
      <c r="B18">
        <v>52</v>
      </c>
      <c r="C18" t="s">
        <v>57</v>
      </c>
      <c r="D18" s="1">
        <v>42455.730555555558</v>
      </c>
      <c r="E18" t="s">
        <v>11</v>
      </c>
      <c r="F18" t="s">
        <v>33</v>
      </c>
      <c r="G18">
        <v>-122.29204</v>
      </c>
      <c r="H18">
        <v>47.560780000000001</v>
      </c>
      <c r="I18" t="s">
        <v>58</v>
      </c>
      <c r="J18">
        <f t="shared" si="0"/>
        <v>1</v>
      </c>
      <c r="K18">
        <v>2</v>
      </c>
    </row>
    <row r="19" spans="1:11" x14ac:dyDescent="0.25">
      <c r="A19">
        <v>1702332</v>
      </c>
      <c r="B19">
        <v>250</v>
      </c>
      <c r="C19" t="s">
        <v>59</v>
      </c>
      <c r="D19" s="1">
        <v>42455.729166666664</v>
      </c>
      <c r="E19" t="s">
        <v>11</v>
      </c>
      <c r="F19" t="s">
        <v>12</v>
      </c>
      <c r="G19">
        <v>-122.27476</v>
      </c>
      <c r="H19">
        <v>47.551909999999999</v>
      </c>
      <c r="I19" t="s">
        <v>60</v>
      </c>
      <c r="J19">
        <f t="shared" si="0"/>
        <v>1</v>
      </c>
      <c r="K19">
        <v>4</v>
      </c>
    </row>
    <row r="20" spans="1:11" x14ac:dyDescent="0.25">
      <c r="A20">
        <v>1702333</v>
      </c>
      <c r="B20">
        <v>177</v>
      </c>
      <c r="C20" t="s">
        <v>61</v>
      </c>
      <c r="D20" s="1">
        <v>42455.73541666667</v>
      </c>
      <c r="E20" t="s">
        <v>19</v>
      </c>
      <c r="F20" t="s">
        <v>20</v>
      </c>
      <c r="G20">
        <v>-122.32999</v>
      </c>
      <c r="H20">
        <v>47.579807000000002</v>
      </c>
      <c r="I20" t="s">
        <v>62</v>
      </c>
      <c r="J20">
        <f t="shared" si="0"/>
        <v>1</v>
      </c>
      <c r="K20">
        <v>0</v>
      </c>
    </row>
    <row r="21" spans="1:11" x14ac:dyDescent="0.25">
      <c r="A21">
        <v>1702334</v>
      </c>
      <c r="B21">
        <v>363</v>
      </c>
      <c r="C21" t="s">
        <v>63</v>
      </c>
      <c r="D21" s="1">
        <v>42455.734027777777</v>
      </c>
      <c r="E21" t="s">
        <v>64</v>
      </c>
      <c r="F21" t="s">
        <v>65</v>
      </c>
      <c r="G21">
        <v>-122.39117400000001</v>
      </c>
      <c r="H21">
        <v>47.54945</v>
      </c>
      <c r="I21" t="s">
        <v>66</v>
      </c>
      <c r="J21">
        <f t="shared" si="0"/>
        <v>1</v>
      </c>
      <c r="K21">
        <v>2</v>
      </c>
    </row>
    <row r="22" spans="1:11" x14ac:dyDescent="0.25">
      <c r="A22">
        <v>1702335</v>
      </c>
      <c r="B22">
        <v>245</v>
      </c>
      <c r="C22" t="s">
        <v>32</v>
      </c>
      <c r="D22" s="1">
        <v>42455.736111111109</v>
      </c>
      <c r="E22" t="s">
        <v>67</v>
      </c>
      <c r="F22" t="s">
        <v>68</v>
      </c>
      <c r="G22">
        <v>-122.332245</v>
      </c>
      <c r="H22">
        <v>47.612071999999998</v>
      </c>
      <c r="I22" t="s">
        <v>69</v>
      </c>
      <c r="J22">
        <f t="shared" si="0"/>
        <v>2</v>
      </c>
      <c r="K22">
        <v>3</v>
      </c>
    </row>
    <row r="23" spans="1:11" x14ac:dyDescent="0.25">
      <c r="A23">
        <v>1702336</v>
      </c>
      <c r="B23">
        <v>430</v>
      </c>
      <c r="C23" t="s">
        <v>70</v>
      </c>
      <c r="D23" s="1">
        <v>42455.73541666667</v>
      </c>
      <c r="E23" t="s">
        <v>71</v>
      </c>
      <c r="F23" t="s">
        <v>72</v>
      </c>
      <c r="G23">
        <v>-122.36287</v>
      </c>
      <c r="H23">
        <v>47.561084999999999</v>
      </c>
      <c r="I23" t="s">
        <v>73</v>
      </c>
      <c r="J23">
        <f t="shared" si="0"/>
        <v>1</v>
      </c>
      <c r="K23">
        <v>1</v>
      </c>
    </row>
    <row r="24" spans="1:11" x14ac:dyDescent="0.25">
      <c r="A24">
        <v>1702337</v>
      </c>
      <c r="B24">
        <v>280</v>
      </c>
      <c r="C24" t="s">
        <v>22</v>
      </c>
      <c r="D24" s="1">
        <v>42455.729166666664</v>
      </c>
      <c r="E24" t="s">
        <v>52</v>
      </c>
      <c r="F24" t="s">
        <v>53</v>
      </c>
      <c r="G24">
        <v>-122.3553</v>
      </c>
      <c r="H24">
        <v>47.684745999999997</v>
      </c>
      <c r="I24" t="s">
        <v>74</v>
      </c>
      <c r="J24">
        <f t="shared" si="0"/>
        <v>1</v>
      </c>
      <c r="K24">
        <v>1</v>
      </c>
    </row>
    <row r="25" spans="1:11" x14ac:dyDescent="0.25">
      <c r="A25">
        <v>1702338</v>
      </c>
      <c r="B25">
        <v>280</v>
      </c>
      <c r="C25" t="s">
        <v>22</v>
      </c>
      <c r="D25" s="1">
        <v>42455.736111111109</v>
      </c>
      <c r="E25" t="s">
        <v>19</v>
      </c>
      <c r="F25" t="s">
        <v>20</v>
      </c>
      <c r="G25">
        <v>-122.32139599999999</v>
      </c>
      <c r="H25">
        <v>47.586205</v>
      </c>
      <c r="I25" t="s">
        <v>75</v>
      </c>
      <c r="J25">
        <f t="shared" si="0"/>
        <v>2</v>
      </c>
      <c r="K25">
        <v>2</v>
      </c>
    </row>
    <row r="26" spans="1:11" x14ac:dyDescent="0.25">
      <c r="A26">
        <v>1702339</v>
      </c>
      <c r="B26">
        <v>186</v>
      </c>
      <c r="C26" t="s">
        <v>77</v>
      </c>
      <c r="D26" s="1">
        <v>42455.729861111111</v>
      </c>
      <c r="E26" t="s">
        <v>78</v>
      </c>
      <c r="F26" t="s">
        <v>79</v>
      </c>
      <c r="G26">
        <v>-122.37888</v>
      </c>
      <c r="H26">
        <v>47.673819999999999</v>
      </c>
      <c r="I26" t="s">
        <v>80</v>
      </c>
      <c r="J26">
        <f t="shared" si="0"/>
        <v>1</v>
      </c>
      <c r="K26">
        <v>3</v>
      </c>
    </row>
    <row r="27" spans="1:11" x14ac:dyDescent="0.25">
      <c r="A27">
        <v>1702340</v>
      </c>
      <c r="B27">
        <v>245</v>
      </c>
      <c r="C27" t="s">
        <v>32</v>
      </c>
      <c r="D27" s="1">
        <v>42455.734722222223</v>
      </c>
      <c r="E27" t="s">
        <v>81</v>
      </c>
      <c r="F27" t="s">
        <v>82</v>
      </c>
      <c r="G27">
        <v>-122.34137</v>
      </c>
      <c r="H27">
        <v>47.618546000000002</v>
      </c>
      <c r="I27" t="s">
        <v>83</v>
      </c>
      <c r="J27">
        <f t="shared" si="0"/>
        <v>1</v>
      </c>
      <c r="K27">
        <v>0</v>
      </c>
    </row>
    <row r="28" spans="1:11" x14ac:dyDescent="0.25">
      <c r="A28">
        <v>1702341</v>
      </c>
      <c r="B28">
        <v>372</v>
      </c>
      <c r="C28" t="s">
        <v>84</v>
      </c>
      <c r="D28" s="1">
        <v>42455.729166666664</v>
      </c>
      <c r="E28" t="s">
        <v>78</v>
      </c>
      <c r="F28" t="s">
        <v>85</v>
      </c>
      <c r="G28">
        <v>-122.32904000000001</v>
      </c>
      <c r="H28">
        <v>47.656120000000001</v>
      </c>
      <c r="I28" t="s">
        <v>86</v>
      </c>
      <c r="J28">
        <f t="shared" si="0"/>
        <v>1</v>
      </c>
      <c r="K28">
        <v>2</v>
      </c>
    </row>
    <row r="29" spans="1:11" x14ac:dyDescent="0.25">
      <c r="A29">
        <v>1702342</v>
      </c>
      <c r="B29">
        <v>63</v>
      </c>
      <c r="C29" t="s">
        <v>87</v>
      </c>
      <c r="D29" s="1">
        <v>42455.731249999997</v>
      </c>
      <c r="E29" t="s">
        <v>23</v>
      </c>
      <c r="F29" t="s">
        <v>88</v>
      </c>
      <c r="G29">
        <v>-122.35796000000001</v>
      </c>
      <c r="H29">
        <v>47.628219999999999</v>
      </c>
      <c r="I29" t="s">
        <v>89</v>
      </c>
      <c r="J29">
        <f t="shared" si="0"/>
        <v>1</v>
      </c>
      <c r="K29">
        <v>3</v>
      </c>
    </row>
    <row r="30" spans="1:11" x14ac:dyDescent="0.25">
      <c r="A30">
        <v>1702343</v>
      </c>
      <c r="B30">
        <v>470</v>
      </c>
      <c r="C30" t="s">
        <v>14</v>
      </c>
      <c r="D30" s="1">
        <v>42455.738194444442</v>
      </c>
      <c r="E30" t="s">
        <v>47</v>
      </c>
      <c r="F30" t="s">
        <v>90</v>
      </c>
      <c r="G30">
        <v>-122.32088</v>
      </c>
      <c r="H30">
        <v>47.619903999999998</v>
      </c>
      <c r="I30" t="s">
        <v>91</v>
      </c>
      <c r="J30">
        <f t="shared" si="0"/>
        <v>3</v>
      </c>
      <c r="K30">
        <v>0</v>
      </c>
    </row>
    <row r="31" spans="1:11" x14ac:dyDescent="0.25">
      <c r="A31">
        <v>1702344</v>
      </c>
      <c r="B31">
        <v>161</v>
      </c>
      <c r="C31" t="s">
        <v>35</v>
      </c>
      <c r="D31" s="1">
        <v>42455.738194444442</v>
      </c>
      <c r="E31" t="s">
        <v>15</v>
      </c>
      <c r="F31" t="s">
        <v>92</v>
      </c>
      <c r="G31">
        <v>-122.31843000000001</v>
      </c>
      <c r="H31">
        <v>47.599186000000003</v>
      </c>
      <c r="I31" t="s">
        <v>93</v>
      </c>
      <c r="J31">
        <f t="shared" si="0"/>
        <v>2</v>
      </c>
      <c r="K31">
        <v>2</v>
      </c>
    </row>
    <row r="32" spans="1:11" x14ac:dyDescent="0.25">
      <c r="A32">
        <v>1702345</v>
      </c>
      <c r="B32">
        <v>74</v>
      </c>
      <c r="C32" t="s">
        <v>94</v>
      </c>
      <c r="D32" s="1">
        <v>42455.740972222222</v>
      </c>
      <c r="E32" t="s">
        <v>95</v>
      </c>
      <c r="F32" t="s">
        <v>96</v>
      </c>
      <c r="G32">
        <v>-122.29026</v>
      </c>
      <c r="H32">
        <v>47.674885000000003</v>
      </c>
      <c r="I32" t="s">
        <v>97</v>
      </c>
      <c r="J32">
        <f t="shared" si="0"/>
        <v>1</v>
      </c>
      <c r="K32">
        <v>4</v>
      </c>
    </row>
    <row r="33" spans="1:11" x14ac:dyDescent="0.25">
      <c r="A33">
        <v>1702346</v>
      </c>
      <c r="B33">
        <v>430</v>
      </c>
      <c r="C33" t="s">
        <v>70</v>
      </c>
      <c r="D33" s="1">
        <v>42455.737500000003</v>
      </c>
      <c r="E33" t="s">
        <v>95</v>
      </c>
      <c r="F33" t="s">
        <v>98</v>
      </c>
      <c r="G33">
        <v>-122.31742</v>
      </c>
      <c r="H33">
        <v>47.663116000000002</v>
      </c>
      <c r="I33" t="s">
        <v>99</v>
      </c>
      <c r="J33">
        <f t="shared" si="0"/>
        <v>1</v>
      </c>
      <c r="K33">
        <v>1</v>
      </c>
    </row>
    <row r="34" spans="1:11" x14ac:dyDescent="0.25">
      <c r="A34">
        <v>1702347</v>
      </c>
      <c r="B34">
        <v>280</v>
      </c>
      <c r="C34" t="s">
        <v>22</v>
      </c>
      <c r="D34" s="1">
        <v>42455.744444444441</v>
      </c>
      <c r="E34" t="s">
        <v>67</v>
      </c>
      <c r="F34" t="s">
        <v>100</v>
      </c>
      <c r="G34">
        <v>-122.34087</v>
      </c>
      <c r="H34">
        <v>47.606406999999997</v>
      </c>
      <c r="I34" t="s">
        <v>101</v>
      </c>
      <c r="J34">
        <f t="shared" si="0"/>
        <v>1</v>
      </c>
      <c r="K34">
        <v>2</v>
      </c>
    </row>
    <row r="35" spans="1:11" x14ac:dyDescent="0.25">
      <c r="A35">
        <v>1702348</v>
      </c>
      <c r="B35">
        <v>245</v>
      </c>
      <c r="C35" t="s">
        <v>32</v>
      </c>
      <c r="D35" s="1">
        <v>42455.739583333336</v>
      </c>
      <c r="E35" t="s">
        <v>43</v>
      </c>
      <c r="F35" t="s">
        <v>102</v>
      </c>
      <c r="G35">
        <v>-122.33404</v>
      </c>
      <c r="H35">
        <v>47.601723</v>
      </c>
      <c r="I35" t="s">
        <v>103</v>
      </c>
      <c r="J35">
        <f t="shared" si="0"/>
        <v>1</v>
      </c>
      <c r="K35">
        <v>3</v>
      </c>
    </row>
    <row r="36" spans="1:11" x14ac:dyDescent="0.25">
      <c r="A36">
        <v>1702349</v>
      </c>
      <c r="B36">
        <v>460</v>
      </c>
      <c r="C36" t="s">
        <v>18</v>
      </c>
      <c r="D36" s="1">
        <v>42455.74722222222</v>
      </c>
      <c r="E36" t="s">
        <v>104</v>
      </c>
      <c r="F36" t="s">
        <v>105</v>
      </c>
      <c r="G36">
        <v>-122.33490999999999</v>
      </c>
      <c r="H36">
        <v>47.534717999999998</v>
      </c>
      <c r="I36" t="s">
        <v>106</v>
      </c>
      <c r="J36">
        <f t="shared" si="0"/>
        <v>1</v>
      </c>
      <c r="K36">
        <v>2</v>
      </c>
    </row>
    <row r="37" spans="1:11" x14ac:dyDescent="0.25">
      <c r="A37">
        <v>1702350</v>
      </c>
      <c r="B37">
        <v>245</v>
      </c>
      <c r="C37" t="s">
        <v>32</v>
      </c>
      <c r="D37" s="1">
        <v>42455.751388888886</v>
      </c>
      <c r="E37" t="s">
        <v>67</v>
      </c>
      <c r="F37" t="s">
        <v>68</v>
      </c>
      <c r="G37">
        <v>-122.33794</v>
      </c>
      <c r="H37">
        <v>47.614170000000001</v>
      </c>
      <c r="I37" t="s">
        <v>107</v>
      </c>
      <c r="J37">
        <f t="shared" si="0"/>
        <v>1</v>
      </c>
      <c r="K37">
        <v>1</v>
      </c>
    </row>
    <row r="38" spans="1:11" x14ac:dyDescent="0.25">
      <c r="A38">
        <v>1702351</v>
      </c>
      <c r="B38">
        <v>341</v>
      </c>
      <c r="C38" t="s">
        <v>108</v>
      </c>
      <c r="D38" s="1">
        <v>42455.738888888889</v>
      </c>
      <c r="E38" t="s">
        <v>78</v>
      </c>
      <c r="F38" t="s">
        <v>85</v>
      </c>
      <c r="G38">
        <v>-122.3325</v>
      </c>
      <c r="H38">
        <v>47.648296000000002</v>
      </c>
      <c r="I38" t="s">
        <v>109</v>
      </c>
      <c r="J38">
        <f t="shared" si="0"/>
        <v>1</v>
      </c>
      <c r="K38">
        <v>3</v>
      </c>
    </row>
    <row r="39" spans="1:11" x14ac:dyDescent="0.25">
      <c r="A39">
        <v>1702352</v>
      </c>
      <c r="B39">
        <v>245</v>
      </c>
      <c r="C39" t="s">
        <v>32</v>
      </c>
      <c r="D39" s="1">
        <v>42455.750694444447</v>
      </c>
      <c r="E39" t="s">
        <v>71</v>
      </c>
      <c r="F39" t="s">
        <v>110</v>
      </c>
      <c r="G39">
        <v>-122.34777</v>
      </c>
      <c r="H39">
        <v>47.731678000000002</v>
      </c>
      <c r="I39" t="s">
        <v>111</v>
      </c>
      <c r="J39">
        <f t="shared" si="0"/>
        <v>2</v>
      </c>
      <c r="K39">
        <v>1</v>
      </c>
    </row>
    <row r="40" spans="1:11" x14ac:dyDescent="0.25">
      <c r="A40">
        <v>1702353</v>
      </c>
      <c r="B40">
        <v>245</v>
      </c>
      <c r="C40" t="s">
        <v>32</v>
      </c>
      <c r="D40" s="1">
        <v>42455.751388888886</v>
      </c>
      <c r="E40" t="s">
        <v>47</v>
      </c>
      <c r="F40" t="s">
        <v>48</v>
      </c>
      <c r="G40">
        <v>-122.31814</v>
      </c>
      <c r="H40">
        <v>47.614094000000001</v>
      </c>
      <c r="I40" t="s">
        <v>112</v>
      </c>
      <c r="J40">
        <f t="shared" si="0"/>
        <v>2</v>
      </c>
      <c r="K40">
        <v>3</v>
      </c>
    </row>
    <row r="41" spans="1:11" x14ac:dyDescent="0.25">
      <c r="A41">
        <v>1702354</v>
      </c>
      <c r="B41">
        <v>280</v>
      </c>
      <c r="C41" t="s">
        <v>22</v>
      </c>
      <c r="D41" s="1">
        <v>42455.747916666667</v>
      </c>
      <c r="E41" t="s">
        <v>78</v>
      </c>
      <c r="F41" t="s">
        <v>113</v>
      </c>
      <c r="G41">
        <v>-122.35436</v>
      </c>
      <c r="H41">
        <v>47.674570000000003</v>
      </c>
      <c r="I41" t="s">
        <v>114</v>
      </c>
      <c r="J41">
        <f t="shared" si="0"/>
        <v>1</v>
      </c>
      <c r="K41">
        <v>3</v>
      </c>
    </row>
    <row r="42" spans="1:11" x14ac:dyDescent="0.25">
      <c r="A42">
        <v>1702355</v>
      </c>
      <c r="B42">
        <v>363</v>
      </c>
      <c r="C42" t="s">
        <v>63</v>
      </c>
      <c r="D42" s="1">
        <v>42455.74722222222</v>
      </c>
      <c r="E42" t="s">
        <v>40</v>
      </c>
      <c r="F42" t="s">
        <v>115</v>
      </c>
      <c r="G42">
        <v>-122.3047</v>
      </c>
      <c r="H42">
        <v>47.622295000000001</v>
      </c>
      <c r="I42" t="s">
        <v>116</v>
      </c>
      <c r="J42">
        <f t="shared" si="0"/>
        <v>1</v>
      </c>
      <c r="K42">
        <v>1</v>
      </c>
    </row>
    <row r="43" spans="1:11" x14ac:dyDescent="0.25">
      <c r="A43">
        <v>1702356</v>
      </c>
      <c r="B43">
        <v>51</v>
      </c>
      <c r="C43" t="s">
        <v>117</v>
      </c>
      <c r="D43" s="1">
        <v>42455.748611111114</v>
      </c>
      <c r="E43" t="s">
        <v>71</v>
      </c>
      <c r="F43" t="s">
        <v>72</v>
      </c>
      <c r="G43">
        <v>-122.33112</v>
      </c>
      <c r="H43">
        <v>47.60172</v>
      </c>
      <c r="I43" t="s">
        <v>118</v>
      </c>
      <c r="J43">
        <f t="shared" si="0"/>
        <v>1</v>
      </c>
      <c r="K43">
        <v>2</v>
      </c>
    </row>
    <row r="44" spans="1:11" x14ac:dyDescent="0.25">
      <c r="A44">
        <v>1702357</v>
      </c>
      <c r="B44">
        <v>40</v>
      </c>
      <c r="C44" t="s">
        <v>119</v>
      </c>
      <c r="D44" s="1">
        <v>42455.744444444441</v>
      </c>
      <c r="E44" t="s">
        <v>52</v>
      </c>
      <c r="F44" t="s">
        <v>120</v>
      </c>
      <c r="G44">
        <v>-122.35799</v>
      </c>
      <c r="H44">
        <v>47.69061</v>
      </c>
      <c r="I44" t="s">
        <v>121</v>
      </c>
      <c r="J44">
        <f t="shared" si="0"/>
        <v>1</v>
      </c>
      <c r="K44">
        <v>1</v>
      </c>
    </row>
    <row r="45" spans="1:11" x14ac:dyDescent="0.25">
      <c r="A45">
        <v>1702358</v>
      </c>
      <c r="B45">
        <v>100</v>
      </c>
      <c r="C45" t="s">
        <v>122</v>
      </c>
      <c r="D45" s="1">
        <v>42455.743750000001</v>
      </c>
      <c r="E45" t="s">
        <v>78</v>
      </c>
      <c r="F45" t="s">
        <v>113</v>
      </c>
      <c r="G45">
        <v>-122.366035</v>
      </c>
      <c r="H45">
        <v>47.675624999999997</v>
      </c>
      <c r="I45" t="s">
        <v>123</v>
      </c>
      <c r="J45">
        <f t="shared" si="0"/>
        <v>2</v>
      </c>
      <c r="K45">
        <v>0</v>
      </c>
    </row>
    <row r="46" spans="1:11" x14ac:dyDescent="0.25">
      <c r="A46">
        <v>1702360</v>
      </c>
      <c r="B46">
        <v>430</v>
      </c>
      <c r="C46" t="s">
        <v>70</v>
      </c>
      <c r="D46" s="1">
        <v>42455.754861111112</v>
      </c>
      <c r="E46" t="s">
        <v>95</v>
      </c>
      <c r="F46" t="s">
        <v>96</v>
      </c>
      <c r="G46">
        <v>-122.26142</v>
      </c>
      <c r="H46">
        <v>47.674934</v>
      </c>
      <c r="I46" t="s">
        <v>124</v>
      </c>
      <c r="J46">
        <f t="shared" si="0"/>
        <v>1</v>
      </c>
      <c r="K46">
        <v>4</v>
      </c>
    </row>
    <row r="47" spans="1:11" x14ac:dyDescent="0.25">
      <c r="A47">
        <v>1702361</v>
      </c>
      <c r="B47">
        <v>250</v>
      </c>
      <c r="C47" t="s">
        <v>59</v>
      </c>
      <c r="D47" s="1">
        <v>42455.759722222225</v>
      </c>
      <c r="E47" t="s">
        <v>78</v>
      </c>
      <c r="F47" t="s">
        <v>85</v>
      </c>
      <c r="G47">
        <v>-122.33135</v>
      </c>
      <c r="H47">
        <v>47.661999999999999</v>
      </c>
      <c r="I47" t="s">
        <v>125</v>
      </c>
      <c r="J47">
        <f t="shared" si="0"/>
        <v>1</v>
      </c>
      <c r="K47">
        <v>1</v>
      </c>
    </row>
    <row r="48" spans="1:11" x14ac:dyDescent="0.25">
      <c r="A48">
        <v>1702362</v>
      </c>
      <c r="B48">
        <v>177</v>
      </c>
      <c r="C48" t="s">
        <v>61</v>
      </c>
      <c r="D48" s="1">
        <v>42455.763888888891</v>
      </c>
      <c r="E48" t="s">
        <v>71</v>
      </c>
      <c r="F48" t="s">
        <v>126</v>
      </c>
      <c r="G48">
        <v>-122.327675</v>
      </c>
      <c r="H48">
        <v>47.598354</v>
      </c>
      <c r="I48" t="s">
        <v>127</v>
      </c>
      <c r="J48">
        <f t="shared" si="0"/>
        <v>1</v>
      </c>
      <c r="K48">
        <v>3</v>
      </c>
    </row>
    <row r="49" spans="1:11" x14ac:dyDescent="0.25">
      <c r="A49">
        <v>1702363</v>
      </c>
      <c r="B49">
        <v>245</v>
      </c>
      <c r="C49" t="s">
        <v>32</v>
      </c>
      <c r="D49" s="1">
        <v>42455.765972222223</v>
      </c>
      <c r="E49" t="s">
        <v>67</v>
      </c>
      <c r="F49" t="s">
        <v>68</v>
      </c>
      <c r="G49">
        <v>-122.33797</v>
      </c>
      <c r="H49">
        <v>47.612423</v>
      </c>
      <c r="I49" t="s">
        <v>128</v>
      </c>
      <c r="J49">
        <f t="shared" si="0"/>
        <v>1</v>
      </c>
      <c r="K49">
        <v>3</v>
      </c>
    </row>
    <row r="50" spans="1:11" x14ac:dyDescent="0.25">
      <c r="A50">
        <v>1702364</v>
      </c>
      <c r="B50">
        <v>161</v>
      </c>
      <c r="C50" t="s">
        <v>35</v>
      </c>
      <c r="D50" s="1">
        <v>42455.759722222225</v>
      </c>
      <c r="E50" t="s">
        <v>71</v>
      </c>
      <c r="F50" t="s">
        <v>126</v>
      </c>
      <c r="G50">
        <v>-122.320915</v>
      </c>
      <c r="H50">
        <v>47.62256</v>
      </c>
      <c r="I50" t="s">
        <v>129</v>
      </c>
      <c r="J50">
        <f t="shared" si="0"/>
        <v>5</v>
      </c>
      <c r="K50">
        <v>1</v>
      </c>
    </row>
    <row r="51" spans="1:11" x14ac:dyDescent="0.25">
      <c r="A51">
        <v>1702365</v>
      </c>
      <c r="B51">
        <v>280</v>
      </c>
      <c r="C51" t="s">
        <v>22</v>
      </c>
      <c r="D51" s="1">
        <v>42455.761805555558</v>
      </c>
      <c r="E51" t="s">
        <v>130</v>
      </c>
      <c r="F51" t="s">
        <v>131</v>
      </c>
      <c r="G51">
        <v>-122.292496</v>
      </c>
      <c r="H51">
        <v>47.72101</v>
      </c>
      <c r="I51" t="s">
        <v>132</v>
      </c>
      <c r="J51">
        <f t="shared" si="0"/>
        <v>1</v>
      </c>
      <c r="K51">
        <v>1</v>
      </c>
    </row>
    <row r="52" spans="1:11" x14ac:dyDescent="0.25">
      <c r="A52">
        <v>1702366</v>
      </c>
      <c r="B52">
        <v>430</v>
      </c>
      <c r="C52" t="s">
        <v>70</v>
      </c>
      <c r="D52" s="1">
        <v>42455.763194444444</v>
      </c>
      <c r="E52" t="s">
        <v>29</v>
      </c>
      <c r="F52" t="s">
        <v>30</v>
      </c>
      <c r="G52">
        <v>-122.27003000000001</v>
      </c>
      <c r="H52">
        <v>47.517150000000001</v>
      </c>
      <c r="I52" t="s">
        <v>133</v>
      </c>
      <c r="J52">
        <f t="shared" si="0"/>
        <v>1</v>
      </c>
      <c r="K52">
        <v>1</v>
      </c>
    </row>
    <row r="53" spans="1:11" x14ac:dyDescent="0.25">
      <c r="A53">
        <v>1702367</v>
      </c>
      <c r="B53">
        <v>41</v>
      </c>
      <c r="C53" t="s">
        <v>134</v>
      </c>
      <c r="D53" s="1">
        <v>42455.756944444445</v>
      </c>
      <c r="E53" t="s">
        <v>47</v>
      </c>
      <c r="F53" t="s">
        <v>90</v>
      </c>
      <c r="G53">
        <v>-122.320915</v>
      </c>
      <c r="H53">
        <v>47.62256</v>
      </c>
      <c r="I53" t="s">
        <v>129</v>
      </c>
      <c r="J53">
        <f t="shared" si="0"/>
        <v>5</v>
      </c>
      <c r="K53">
        <v>3</v>
      </c>
    </row>
    <row r="54" spans="1:11" x14ac:dyDescent="0.25">
      <c r="A54">
        <v>1702368</v>
      </c>
      <c r="B54">
        <v>430</v>
      </c>
      <c r="C54" t="s">
        <v>70</v>
      </c>
      <c r="D54" s="1">
        <v>42455.759722222225</v>
      </c>
      <c r="E54" t="s">
        <v>81</v>
      </c>
      <c r="F54" t="s">
        <v>135</v>
      </c>
      <c r="G54">
        <v>-122.34564</v>
      </c>
      <c r="H54">
        <v>47.611404</v>
      </c>
      <c r="I54" t="s">
        <v>136</v>
      </c>
      <c r="J54">
        <f t="shared" si="0"/>
        <v>1</v>
      </c>
      <c r="K54">
        <v>1</v>
      </c>
    </row>
    <row r="55" spans="1:11" x14ac:dyDescent="0.25">
      <c r="A55">
        <v>1702369</v>
      </c>
      <c r="B55">
        <v>430</v>
      </c>
      <c r="C55" t="s">
        <v>70</v>
      </c>
      <c r="D55" s="1">
        <v>42455.761805555558</v>
      </c>
      <c r="E55" t="s">
        <v>47</v>
      </c>
      <c r="F55" t="s">
        <v>90</v>
      </c>
      <c r="G55">
        <v>-122.31693</v>
      </c>
      <c r="H55">
        <v>47.619934000000001</v>
      </c>
      <c r="I55" t="s">
        <v>137</v>
      </c>
      <c r="J55">
        <f t="shared" si="0"/>
        <v>1</v>
      </c>
      <c r="K55">
        <v>2</v>
      </c>
    </row>
    <row r="56" spans="1:11" x14ac:dyDescent="0.25">
      <c r="A56">
        <v>1702370</v>
      </c>
      <c r="B56">
        <v>63</v>
      </c>
      <c r="C56" t="s">
        <v>87</v>
      </c>
      <c r="D56" s="1">
        <v>42455.758333333331</v>
      </c>
      <c r="E56" t="s">
        <v>104</v>
      </c>
      <c r="F56" t="s">
        <v>105</v>
      </c>
      <c r="G56">
        <v>-122.31492</v>
      </c>
      <c r="H56">
        <v>47.526015999999998</v>
      </c>
      <c r="I56" t="s">
        <v>138</v>
      </c>
      <c r="J56">
        <f t="shared" si="0"/>
        <v>1</v>
      </c>
      <c r="K56">
        <v>1</v>
      </c>
    </row>
    <row r="57" spans="1:11" x14ac:dyDescent="0.25">
      <c r="A57">
        <v>1702372</v>
      </c>
      <c r="B57">
        <v>242</v>
      </c>
      <c r="C57" t="s">
        <v>10</v>
      </c>
      <c r="D57" s="1">
        <v>42455.76666666667</v>
      </c>
      <c r="E57" t="s">
        <v>29</v>
      </c>
      <c r="F57" t="s">
        <v>30</v>
      </c>
      <c r="G57">
        <v>-122.26972000000001</v>
      </c>
      <c r="H57">
        <v>47.520144999999999</v>
      </c>
      <c r="I57" t="s">
        <v>139</v>
      </c>
      <c r="J57">
        <f t="shared" si="0"/>
        <v>1</v>
      </c>
      <c r="K57">
        <v>2</v>
      </c>
    </row>
    <row r="58" spans="1:11" x14ac:dyDescent="0.25">
      <c r="A58">
        <v>1702373</v>
      </c>
      <c r="B58">
        <v>410</v>
      </c>
      <c r="C58" t="s">
        <v>140</v>
      </c>
      <c r="D58" s="1">
        <v>42455.776388888888</v>
      </c>
      <c r="E58" t="s">
        <v>71</v>
      </c>
      <c r="F58" t="s">
        <v>110</v>
      </c>
      <c r="G58">
        <v>-122.264786</v>
      </c>
      <c r="H58">
        <v>47.506573000000003</v>
      </c>
      <c r="I58" t="s">
        <v>141</v>
      </c>
      <c r="J58">
        <f t="shared" si="0"/>
        <v>1</v>
      </c>
      <c r="K58">
        <v>2</v>
      </c>
    </row>
    <row r="59" spans="1:11" x14ac:dyDescent="0.25">
      <c r="A59">
        <v>1702374</v>
      </c>
      <c r="B59">
        <v>71</v>
      </c>
      <c r="C59" t="s">
        <v>142</v>
      </c>
      <c r="D59" s="1">
        <v>42455.772222222222</v>
      </c>
      <c r="E59" t="s">
        <v>78</v>
      </c>
      <c r="F59" t="s">
        <v>113</v>
      </c>
      <c r="G59">
        <v>-122.35290500000001</v>
      </c>
      <c r="H59">
        <v>47.650112</v>
      </c>
      <c r="I59" t="s">
        <v>143</v>
      </c>
      <c r="J59">
        <f t="shared" si="0"/>
        <v>1</v>
      </c>
      <c r="K59">
        <v>3</v>
      </c>
    </row>
    <row r="60" spans="1:11" x14ac:dyDescent="0.25">
      <c r="A60">
        <v>1702375</v>
      </c>
      <c r="B60">
        <v>430</v>
      </c>
      <c r="C60" t="s">
        <v>70</v>
      </c>
      <c r="D60" s="1">
        <v>42455.770833333336</v>
      </c>
      <c r="E60" t="s">
        <v>52</v>
      </c>
      <c r="F60" t="s">
        <v>53</v>
      </c>
      <c r="G60">
        <v>-122.326836</v>
      </c>
      <c r="H60">
        <v>47.678555000000003</v>
      </c>
      <c r="I60" t="s">
        <v>144</v>
      </c>
      <c r="J60">
        <f t="shared" si="0"/>
        <v>1</v>
      </c>
      <c r="K60">
        <v>3</v>
      </c>
    </row>
    <row r="61" spans="1:11" x14ac:dyDescent="0.25">
      <c r="A61">
        <v>1702376</v>
      </c>
      <c r="B61">
        <v>430</v>
      </c>
      <c r="C61" t="s">
        <v>70</v>
      </c>
      <c r="D61" s="1">
        <v>42455.777083333334</v>
      </c>
      <c r="E61" t="s">
        <v>145</v>
      </c>
      <c r="F61" t="s">
        <v>146</v>
      </c>
      <c r="G61">
        <v>-122.33266</v>
      </c>
      <c r="H61">
        <v>47.708655999999998</v>
      </c>
      <c r="I61" t="s">
        <v>147</v>
      </c>
      <c r="J61">
        <f t="shared" si="0"/>
        <v>2</v>
      </c>
      <c r="K61">
        <v>4</v>
      </c>
    </row>
    <row r="62" spans="1:11" x14ac:dyDescent="0.25">
      <c r="A62">
        <v>1702377</v>
      </c>
      <c r="B62">
        <v>177</v>
      </c>
      <c r="C62" t="s">
        <v>61</v>
      </c>
      <c r="D62" s="1">
        <v>42455.78402777778</v>
      </c>
      <c r="E62" t="s">
        <v>15</v>
      </c>
      <c r="F62" t="s">
        <v>92</v>
      </c>
      <c r="G62">
        <v>-122.31722000000001</v>
      </c>
      <c r="H62">
        <v>47.599186000000003</v>
      </c>
      <c r="I62" t="s">
        <v>148</v>
      </c>
      <c r="J62">
        <f t="shared" si="0"/>
        <v>3</v>
      </c>
      <c r="K62">
        <v>3</v>
      </c>
    </row>
    <row r="63" spans="1:11" x14ac:dyDescent="0.25">
      <c r="A63">
        <v>1702378</v>
      </c>
      <c r="B63">
        <v>184</v>
      </c>
      <c r="C63" t="s">
        <v>149</v>
      </c>
      <c r="D63" s="1">
        <v>42455.789583333331</v>
      </c>
      <c r="E63" t="s">
        <v>40</v>
      </c>
      <c r="F63" t="s">
        <v>41</v>
      </c>
      <c r="G63">
        <v>-122.31561000000001</v>
      </c>
      <c r="H63">
        <v>47.61936</v>
      </c>
      <c r="I63" t="s">
        <v>150</v>
      </c>
      <c r="J63">
        <f t="shared" si="0"/>
        <v>1</v>
      </c>
      <c r="K63">
        <v>1</v>
      </c>
    </row>
    <row r="64" spans="1:11" x14ac:dyDescent="0.25">
      <c r="A64">
        <v>1702379</v>
      </c>
      <c r="B64">
        <v>245</v>
      </c>
      <c r="C64" t="s">
        <v>32</v>
      </c>
      <c r="D64" s="1">
        <v>42455.789583333331</v>
      </c>
      <c r="E64" t="s">
        <v>40</v>
      </c>
      <c r="F64" t="s">
        <v>151</v>
      </c>
      <c r="G64">
        <v>-122.31148</v>
      </c>
      <c r="H64">
        <v>47.612225000000002</v>
      </c>
      <c r="I64" t="s">
        <v>152</v>
      </c>
      <c r="J64">
        <f t="shared" si="0"/>
        <v>2</v>
      </c>
      <c r="K64">
        <v>2</v>
      </c>
    </row>
    <row r="65" spans="1:11" x14ac:dyDescent="0.25">
      <c r="A65">
        <v>1702380</v>
      </c>
      <c r="B65">
        <v>53</v>
      </c>
      <c r="C65" t="s">
        <v>153</v>
      </c>
      <c r="D65" s="1">
        <v>42455.78125</v>
      </c>
      <c r="E65" t="s">
        <v>81</v>
      </c>
      <c r="F65" t="s">
        <v>154</v>
      </c>
      <c r="G65">
        <v>-122.32588</v>
      </c>
      <c r="H65">
        <v>47.645057999999999</v>
      </c>
      <c r="I65" t="s">
        <v>155</v>
      </c>
      <c r="J65">
        <f t="shared" si="0"/>
        <v>1</v>
      </c>
      <c r="K65">
        <v>1</v>
      </c>
    </row>
    <row r="66" spans="1:11" x14ac:dyDescent="0.25">
      <c r="A66">
        <v>1702381</v>
      </c>
      <c r="B66">
        <v>63</v>
      </c>
      <c r="C66" t="s">
        <v>87</v>
      </c>
      <c r="D66" s="1">
        <v>42455.779166666667</v>
      </c>
      <c r="E66" t="s">
        <v>29</v>
      </c>
      <c r="F66" t="s">
        <v>156</v>
      </c>
      <c r="G66">
        <v>-122.29541999999999</v>
      </c>
      <c r="H66">
        <v>47.549895999999997</v>
      </c>
      <c r="I66" t="s">
        <v>157</v>
      </c>
      <c r="J66">
        <f t="shared" ref="J66:J129" si="1">COUNTIF($I$2:$I$1046,I66)</f>
        <v>1</v>
      </c>
      <c r="K66">
        <v>0</v>
      </c>
    </row>
    <row r="67" spans="1:11" x14ac:dyDescent="0.25">
      <c r="A67">
        <v>1702382</v>
      </c>
      <c r="B67">
        <v>64</v>
      </c>
      <c r="C67" t="s">
        <v>158</v>
      </c>
      <c r="D67" s="1">
        <v>42455.786111111112</v>
      </c>
      <c r="E67" t="s">
        <v>81</v>
      </c>
      <c r="F67" t="s">
        <v>82</v>
      </c>
      <c r="G67">
        <v>-122.33844000000001</v>
      </c>
      <c r="H67">
        <v>47.618243999999997</v>
      </c>
      <c r="I67" t="s">
        <v>159</v>
      </c>
      <c r="J67">
        <f t="shared" si="1"/>
        <v>1</v>
      </c>
      <c r="K67">
        <v>2</v>
      </c>
    </row>
    <row r="68" spans="1:11" x14ac:dyDescent="0.25">
      <c r="A68">
        <v>1702383</v>
      </c>
      <c r="B68">
        <v>470</v>
      </c>
      <c r="C68" t="s">
        <v>14</v>
      </c>
      <c r="D68" s="1">
        <v>42455.791666666664</v>
      </c>
      <c r="E68" t="s">
        <v>78</v>
      </c>
      <c r="F68" t="s">
        <v>113</v>
      </c>
      <c r="G68">
        <v>-122.34859</v>
      </c>
      <c r="H68">
        <v>47.65343</v>
      </c>
      <c r="I68" t="s">
        <v>160</v>
      </c>
      <c r="J68">
        <f t="shared" si="1"/>
        <v>1</v>
      </c>
      <c r="K68">
        <v>2</v>
      </c>
    </row>
    <row r="69" spans="1:11" x14ac:dyDescent="0.25">
      <c r="A69">
        <v>1702384</v>
      </c>
      <c r="B69">
        <v>203</v>
      </c>
      <c r="C69" t="s">
        <v>161</v>
      </c>
      <c r="D69" s="1">
        <v>42455.786805555559</v>
      </c>
      <c r="E69" t="s">
        <v>71</v>
      </c>
      <c r="F69" t="s">
        <v>72</v>
      </c>
      <c r="G69">
        <v>-122.38055</v>
      </c>
      <c r="H69">
        <v>47.670906000000002</v>
      </c>
      <c r="I69" t="s">
        <v>162</v>
      </c>
      <c r="J69">
        <f t="shared" si="1"/>
        <v>1</v>
      </c>
      <c r="K69">
        <v>1</v>
      </c>
    </row>
    <row r="70" spans="1:11" x14ac:dyDescent="0.25">
      <c r="A70">
        <v>1702385</v>
      </c>
      <c r="B70">
        <v>430</v>
      </c>
      <c r="C70" t="s">
        <v>70</v>
      </c>
      <c r="D70" s="1">
        <v>42455.789583333331</v>
      </c>
      <c r="E70" t="s">
        <v>40</v>
      </c>
      <c r="F70" t="s">
        <v>115</v>
      </c>
      <c r="G70">
        <v>-122.30461</v>
      </c>
      <c r="H70">
        <v>47.645553999999997</v>
      </c>
      <c r="I70" t="s">
        <v>163</v>
      </c>
      <c r="J70">
        <f t="shared" si="1"/>
        <v>2</v>
      </c>
      <c r="K70">
        <v>2</v>
      </c>
    </row>
    <row r="71" spans="1:11" x14ac:dyDescent="0.25">
      <c r="A71">
        <v>1702386</v>
      </c>
      <c r="B71">
        <v>470</v>
      </c>
      <c r="C71" t="s">
        <v>14</v>
      </c>
      <c r="D71" s="1">
        <v>42455.794444444444</v>
      </c>
      <c r="E71" t="s">
        <v>47</v>
      </c>
      <c r="F71" t="s">
        <v>90</v>
      </c>
      <c r="G71">
        <v>-122.32653999999999</v>
      </c>
      <c r="H71">
        <v>47.617404999999998</v>
      </c>
      <c r="I71" t="s">
        <v>164</v>
      </c>
      <c r="J71">
        <f t="shared" si="1"/>
        <v>1</v>
      </c>
      <c r="K71">
        <v>1</v>
      </c>
    </row>
    <row r="72" spans="1:11" x14ac:dyDescent="0.25">
      <c r="A72">
        <v>1702387</v>
      </c>
      <c r="B72">
        <v>470</v>
      </c>
      <c r="C72" t="s">
        <v>14</v>
      </c>
      <c r="D72" s="1">
        <v>42455.793749999997</v>
      </c>
      <c r="E72" t="s">
        <v>71</v>
      </c>
      <c r="F72" t="s">
        <v>126</v>
      </c>
      <c r="G72">
        <v>-122.30141999999999</v>
      </c>
      <c r="H72">
        <v>47.612262999999999</v>
      </c>
      <c r="I72" t="s">
        <v>165</v>
      </c>
      <c r="J72">
        <f t="shared" si="1"/>
        <v>1</v>
      </c>
      <c r="K72">
        <v>1</v>
      </c>
    </row>
    <row r="73" spans="1:11" x14ac:dyDescent="0.25">
      <c r="A73">
        <v>1702388</v>
      </c>
      <c r="B73">
        <v>281</v>
      </c>
      <c r="C73" t="s">
        <v>26</v>
      </c>
      <c r="D73" s="1">
        <v>42455.793749999997</v>
      </c>
      <c r="E73" t="s">
        <v>52</v>
      </c>
      <c r="F73" t="s">
        <v>120</v>
      </c>
      <c r="G73">
        <v>-122.35397</v>
      </c>
      <c r="H73">
        <v>47.694214000000002</v>
      </c>
      <c r="I73" t="s">
        <v>166</v>
      </c>
      <c r="J73">
        <f t="shared" si="1"/>
        <v>1</v>
      </c>
      <c r="K73">
        <v>3</v>
      </c>
    </row>
    <row r="74" spans="1:11" x14ac:dyDescent="0.25">
      <c r="A74">
        <v>1702389</v>
      </c>
      <c r="B74">
        <v>430</v>
      </c>
      <c r="C74" t="s">
        <v>70</v>
      </c>
      <c r="D74" s="1">
        <v>42455.792361111111</v>
      </c>
      <c r="E74" t="s">
        <v>78</v>
      </c>
      <c r="F74" t="s">
        <v>79</v>
      </c>
      <c r="G74">
        <v>-122.38473999999999</v>
      </c>
      <c r="H74">
        <v>47.669820000000001</v>
      </c>
      <c r="I74" t="s">
        <v>167</v>
      </c>
      <c r="J74">
        <f t="shared" si="1"/>
        <v>2</v>
      </c>
      <c r="K74">
        <v>3</v>
      </c>
    </row>
    <row r="75" spans="1:11" x14ac:dyDescent="0.25">
      <c r="A75">
        <v>1702390</v>
      </c>
      <c r="B75">
        <v>470</v>
      </c>
      <c r="C75" t="s">
        <v>14</v>
      </c>
      <c r="D75" s="1">
        <v>42455.802777777775</v>
      </c>
      <c r="E75" t="s">
        <v>67</v>
      </c>
      <c r="F75" t="s">
        <v>100</v>
      </c>
      <c r="G75">
        <v>-122.3408</v>
      </c>
      <c r="H75">
        <v>47.608494</v>
      </c>
      <c r="I75" t="s">
        <v>168</v>
      </c>
      <c r="J75">
        <f t="shared" si="1"/>
        <v>1</v>
      </c>
      <c r="K75">
        <v>2</v>
      </c>
    </row>
    <row r="76" spans="1:11" x14ac:dyDescent="0.25">
      <c r="A76">
        <v>1702391</v>
      </c>
      <c r="B76">
        <v>292</v>
      </c>
      <c r="C76" t="s">
        <v>169</v>
      </c>
      <c r="D76" s="1">
        <v>42455.801388888889</v>
      </c>
      <c r="E76" t="s">
        <v>47</v>
      </c>
      <c r="F76" t="s">
        <v>48</v>
      </c>
      <c r="G76">
        <v>-122.32077</v>
      </c>
      <c r="H76">
        <v>47.613517999999999</v>
      </c>
      <c r="I76" t="s">
        <v>170</v>
      </c>
      <c r="J76">
        <f t="shared" si="1"/>
        <v>3</v>
      </c>
      <c r="K76">
        <v>1</v>
      </c>
    </row>
    <row r="77" spans="1:11" x14ac:dyDescent="0.25">
      <c r="A77">
        <v>1702392</v>
      </c>
      <c r="B77">
        <v>281</v>
      </c>
      <c r="C77" t="s">
        <v>26</v>
      </c>
      <c r="D77" s="1">
        <v>42455.8</v>
      </c>
      <c r="E77" t="s">
        <v>40</v>
      </c>
      <c r="F77" t="s">
        <v>151</v>
      </c>
      <c r="G77">
        <v>-122.308846</v>
      </c>
      <c r="H77">
        <v>47.615704000000001</v>
      </c>
      <c r="I77" t="s">
        <v>171</v>
      </c>
      <c r="J77">
        <f t="shared" si="1"/>
        <v>1</v>
      </c>
      <c r="K77">
        <v>2</v>
      </c>
    </row>
    <row r="78" spans="1:11" x14ac:dyDescent="0.25">
      <c r="A78">
        <v>1702393</v>
      </c>
      <c r="B78">
        <v>430</v>
      </c>
      <c r="C78" t="s">
        <v>70</v>
      </c>
      <c r="D78" s="1">
        <v>42455.802777777775</v>
      </c>
      <c r="E78" t="s">
        <v>95</v>
      </c>
      <c r="F78" t="s">
        <v>96</v>
      </c>
      <c r="G78">
        <v>-122.28507</v>
      </c>
      <c r="H78">
        <v>47.681457999999999</v>
      </c>
      <c r="I78" t="s">
        <v>172</v>
      </c>
      <c r="J78">
        <f t="shared" si="1"/>
        <v>1</v>
      </c>
      <c r="K78">
        <v>3</v>
      </c>
    </row>
    <row r="79" spans="1:11" x14ac:dyDescent="0.25">
      <c r="A79">
        <v>1702394</v>
      </c>
      <c r="B79">
        <v>220</v>
      </c>
      <c r="C79" t="s">
        <v>173</v>
      </c>
      <c r="D79" s="1">
        <v>42455.802083333336</v>
      </c>
      <c r="E79" t="s">
        <v>47</v>
      </c>
      <c r="F79" t="s">
        <v>90</v>
      </c>
      <c r="G79">
        <v>-122.32785</v>
      </c>
      <c r="H79">
        <v>47.619038000000003</v>
      </c>
      <c r="I79" t="s">
        <v>174</v>
      </c>
      <c r="J79">
        <f t="shared" si="1"/>
        <v>2</v>
      </c>
      <c r="K79">
        <v>1</v>
      </c>
    </row>
    <row r="80" spans="1:11" x14ac:dyDescent="0.25">
      <c r="A80">
        <v>1702395</v>
      </c>
      <c r="B80">
        <v>280</v>
      </c>
      <c r="C80" t="s">
        <v>22</v>
      </c>
      <c r="D80" s="1">
        <v>42455.811111111114</v>
      </c>
      <c r="E80" t="s">
        <v>95</v>
      </c>
      <c r="F80" t="s">
        <v>96</v>
      </c>
      <c r="G80">
        <v>-122.258095</v>
      </c>
      <c r="H80">
        <v>47.669952000000002</v>
      </c>
      <c r="I80" t="s">
        <v>175</v>
      </c>
      <c r="J80">
        <f t="shared" si="1"/>
        <v>1</v>
      </c>
      <c r="K80">
        <v>1</v>
      </c>
    </row>
    <row r="81" spans="1:11" x14ac:dyDescent="0.25">
      <c r="A81">
        <v>1702396</v>
      </c>
      <c r="B81">
        <v>250</v>
      </c>
      <c r="C81" t="s">
        <v>59</v>
      </c>
      <c r="D81" s="1">
        <v>42455.806944444441</v>
      </c>
      <c r="E81" t="s">
        <v>78</v>
      </c>
      <c r="F81" t="s">
        <v>113</v>
      </c>
      <c r="G81">
        <v>-122.37076999999999</v>
      </c>
      <c r="H81">
        <v>47.662196999999999</v>
      </c>
      <c r="I81" t="s">
        <v>176</v>
      </c>
      <c r="J81">
        <f t="shared" si="1"/>
        <v>1</v>
      </c>
      <c r="K81">
        <v>1</v>
      </c>
    </row>
    <row r="82" spans="1:11" x14ac:dyDescent="0.25">
      <c r="A82">
        <v>1702397</v>
      </c>
      <c r="B82">
        <v>280</v>
      </c>
      <c r="C82" t="s">
        <v>22</v>
      </c>
      <c r="D82" s="1">
        <v>42455.807638888888</v>
      </c>
      <c r="E82" t="s">
        <v>47</v>
      </c>
      <c r="F82" t="s">
        <v>177</v>
      </c>
      <c r="G82">
        <v>-122.32922000000001</v>
      </c>
      <c r="H82">
        <v>47.609603999999997</v>
      </c>
      <c r="I82" t="s">
        <v>178</v>
      </c>
      <c r="J82">
        <f t="shared" si="1"/>
        <v>1</v>
      </c>
      <c r="K82">
        <v>0</v>
      </c>
    </row>
    <row r="83" spans="1:11" x14ac:dyDescent="0.25">
      <c r="A83">
        <v>1702398</v>
      </c>
      <c r="B83">
        <v>220</v>
      </c>
      <c r="C83" t="s">
        <v>173</v>
      </c>
      <c r="D83" s="1">
        <v>42455.809027777781</v>
      </c>
      <c r="E83" t="s">
        <v>67</v>
      </c>
      <c r="F83" t="s">
        <v>100</v>
      </c>
      <c r="G83">
        <v>-122.34175999999999</v>
      </c>
      <c r="H83">
        <v>47.611732000000003</v>
      </c>
      <c r="I83" t="s">
        <v>179</v>
      </c>
      <c r="J83">
        <f t="shared" si="1"/>
        <v>1</v>
      </c>
      <c r="K83">
        <v>0</v>
      </c>
    </row>
    <row r="84" spans="1:11" x14ac:dyDescent="0.25">
      <c r="A84">
        <v>1702399</v>
      </c>
      <c r="B84">
        <v>242</v>
      </c>
      <c r="C84" t="s">
        <v>10</v>
      </c>
      <c r="D84" s="1">
        <v>42455.811805555553</v>
      </c>
      <c r="E84" t="s">
        <v>43</v>
      </c>
      <c r="F84" t="s">
        <v>44</v>
      </c>
      <c r="G84">
        <v>-122.33139</v>
      </c>
      <c r="H84">
        <v>47.601073999999997</v>
      </c>
      <c r="I84" t="s">
        <v>180</v>
      </c>
      <c r="J84">
        <f t="shared" si="1"/>
        <v>2</v>
      </c>
      <c r="K84">
        <v>0</v>
      </c>
    </row>
    <row r="85" spans="1:11" x14ac:dyDescent="0.25">
      <c r="A85">
        <v>1702400</v>
      </c>
      <c r="B85">
        <v>64</v>
      </c>
      <c r="C85" t="s">
        <v>158</v>
      </c>
      <c r="D85" s="1">
        <v>42455.805555555555</v>
      </c>
      <c r="E85" t="s">
        <v>104</v>
      </c>
      <c r="F85" t="s">
        <v>181</v>
      </c>
      <c r="G85">
        <v>-122.36521999999999</v>
      </c>
      <c r="H85">
        <v>47.521023</v>
      </c>
      <c r="I85" t="s">
        <v>182</v>
      </c>
      <c r="J85">
        <f t="shared" si="1"/>
        <v>1</v>
      </c>
      <c r="K85">
        <v>1</v>
      </c>
    </row>
    <row r="86" spans="1:11" x14ac:dyDescent="0.25">
      <c r="A86">
        <v>1702401</v>
      </c>
      <c r="B86">
        <v>63</v>
      </c>
      <c r="C86" t="s">
        <v>87</v>
      </c>
      <c r="D86" s="1">
        <v>42455.813888888886</v>
      </c>
      <c r="E86" t="s">
        <v>40</v>
      </c>
      <c r="F86" t="s">
        <v>41</v>
      </c>
      <c r="G86">
        <v>-122.320854</v>
      </c>
      <c r="H86">
        <v>47.643810000000002</v>
      </c>
      <c r="I86" t="s">
        <v>183</v>
      </c>
      <c r="J86">
        <f t="shared" si="1"/>
        <v>1</v>
      </c>
      <c r="K86">
        <v>1</v>
      </c>
    </row>
    <row r="87" spans="1:11" x14ac:dyDescent="0.25">
      <c r="A87">
        <v>1702402</v>
      </c>
      <c r="B87">
        <v>100</v>
      </c>
      <c r="C87" t="s">
        <v>122</v>
      </c>
      <c r="D87" s="1">
        <v>42455.805555555555</v>
      </c>
      <c r="E87" t="s">
        <v>104</v>
      </c>
      <c r="F87" t="s">
        <v>184</v>
      </c>
      <c r="G87">
        <v>-122.36165</v>
      </c>
      <c r="H87">
        <v>47.544969999999999</v>
      </c>
      <c r="I87" t="s">
        <v>185</v>
      </c>
      <c r="J87">
        <f t="shared" si="1"/>
        <v>1</v>
      </c>
      <c r="K87">
        <v>0</v>
      </c>
    </row>
    <row r="88" spans="1:11" x14ac:dyDescent="0.25">
      <c r="A88">
        <v>1702403</v>
      </c>
      <c r="B88">
        <v>245</v>
      </c>
      <c r="C88" t="s">
        <v>32</v>
      </c>
      <c r="D88" s="1">
        <v>42455.818749999999</v>
      </c>
      <c r="E88" t="s">
        <v>47</v>
      </c>
      <c r="F88" t="s">
        <v>48</v>
      </c>
      <c r="G88">
        <v>-122.316734</v>
      </c>
      <c r="H88">
        <v>47.61289</v>
      </c>
      <c r="I88" t="s">
        <v>186</v>
      </c>
      <c r="J88">
        <f t="shared" si="1"/>
        <v>1</v>
      </c>
      <c r="K88">
        <v>4</v>
      </c>
    </row>
    <row r="89" spans="1:11" x14ac:dyDescent="0.25">
      <c r="A89">
        <v>1702404</v>
      </c>
      <c r="B89">
        <v>200</v>
      </c>
      <c r="C89" t="s">
        <v>187</v>
      </c>
      <c r="D89" s="1">
        <v>42455.818055555559</v>
      </c>
      <c r="E89" t="s">
        <v>15</v>
      </c>
      <c r="F89" t="s">
        <v>92</v>
      </c>
      <c r="G89">
        <v>-122.31568</v>
      </c>
      <c r="H89">
        <v>47.599200000000003</v>
      </c>
      <c r="I89" t="s">
        <v>188</v>
      </c>
      <c r="J89">
        <f t="shared" si="1"/>
        <v>1</v>
      </c>
      <c r="K89">
        <v>3</v>
      </c>
    </row>
    <row r="90" spans="1:11" x14ac:dyDescent="0.25">
      <c r="A90">
        <v>1702405</v>
      </c>
      <c r="B90">
        <v>245</v>
      </c>
      <c r="C90" t="s">
        <v>32</v>
      </c>
      <c r="D90" s="1">
        <v>42455.813194444447</v>
      </c>
      <c r="E90" t="s">
        <v>23</v>
      </c>
      <c r="F90" t="s">
        <v>189</v>
      </c>
      <c r="G90">
        <v>-122.35696</v>
      </c>
      <c r="H90">
        <v>47.635956</v>
      </c>
      <c r="I90" t="s">
        <v>190</v>
      </c>
      <c r="J90">
        <f t="shared" si="1"/>
        <v>1</v>
      </c>
      <c r="K90">
        <v>2</v>
      </c>
    </row>
    <row r="91" spans="1:11" x14ac:dyDescent="0.25">
      <c r="A91">
        <v>1702406</v>
      </c>
      <c r="B91">
        <v>280</v>
      </c>
      <c r="C91" t="s">
        <v>22</v>
      </c>
      <c r="D91" s="1">
        <v>42455.814583333333</v>
      </c>
      <c r="E91" t="s">
        <v>78</v>
      </c>
      <c r="F91" t="s">
        <v>85</v>
      </c>
      <c r="G91">
        <v>-122.32738000000001</v>
      </c>
      <c r="H91">
        <v>47.653404000000002</v>
      </c>
      <c r="I91" t="s">
        <v>191</v>
      </c>
      <c r="J91">
        <f t="shared" si="1"/>
        <v>1</v>
      </c>
      <c r="K91">
        <v>0</v>
      </c>
    </row>
    <row r="92" spans="1:11" x14ac:dyDescent="0.25">
      <c r="A92">
        <v>1702407</v>
      </c>
      <c r="B92">
        <v>40</v>
      </c>
      <c r="C92" t="s">
        <v>119</v>
      </c>
      <c r="D92" s="1">
        <v>42455.817361111112</v>
      </c>
      <c r="E92" t="s">
        <v>43</v>
      </c>
      <c r="F92" t="s">
        <v>44</v>
      </c>
      <c r="G92">
        <v>-122.33081</v>
      </c>
      <c r="H92">
        <v>47.600464000000002</v>
      </c>
      <c r="I92" t="s">
        <v>45</v>
      </c>
      <c r="J92">
        <f t="shared" si="1"/>
        <v>17</v>
      </c>
      <c r="K92">
        <v>1</v>
      </c>
    </row>
    <row r="93" spans="1:11" x14ac:dyDescent="0.25">
      <c r="A93">
        <v>1702408</v>
      </c>
      <c r="B93">
        <v>40</v>
      </c>
      <c r="C93" t="s">
        <v>119</v>
      </c>
      <c r="D93" s="1">
        <v>42455.818055555559</v>
      </c>
      <c r="E93" t="s">
        <v>11</v>
      </c>
      <c r="F93" t="s">
        <v>33</v>
      </c>
      <c r="G93">
        <v>-122.29916</v>
      </c>
      <c r="H93">
        <v>47.579673999999997</v>
      </c>
      <c r="I93" t="s">
        <v>34</v>
      </c>
      <c r="J93">
        <f t="shared" si="1"/>
        <v>4</v>
      </c>
      <c r="K93">
        <v>1</v>
      </c>
    </row>
    <row r="94" spans="1:11" x14ac:dyDescent="0.25">
      <c r="A94">
        <v>1702409</v>
      </c>
      <c r="B94">
        <v>71</v>
      </c>
      <c r="C94" t="s">
        <v>142</v>
      </c>
      <c r="D94" s="1">
        <v>42455.819444444445</v>
      </c>
      <c r="E94" t="s">
        <v>19</v>
      </c>
      <c r="F94" t="s">
        <v>50</v>
      </c>
      <c r="G94">
        <v>-122.33678999999999</v>
      </c>
      <c r="H94">
        <v>47.561599999999999</v>
      </c>
      <c r="I94" t="s">
        <v>192</v>
      </c>
      <c r="J94">
        <f t="shared" si="1"/>
        <v>1</v>
      </c>
      <c r="K94">
        <v>2</v>
      </c>
    </row>
    <row r="95" spans="1:11" x14ac:dyDescent="0.25">
      <c r="A95">
        <v>1702410</v>
      </c>
      <c r="B95">
        <v>430</v>
      </c>
      <c r="C95" t="s">
        <v>70</v>
      </c>
      <c r="D95" s="1">
        <v>42455.814583333333</v>
      </c>
      <c r="E95" t="s">
        <v>67</v>
      </c>
      <c r="F95" t="s">
        <v>193</v>
      </c>
      <c r="G95">
        <v>-122.33557999999999</v>
      </c>
      <c r="H95">
        <v>47.610675999999998</v>
      </c>
      <c r="I95" t="s">
        <v>194</v>
      </c>
      <c r="J95">
        <f t="shared" si="1"/>
        <v>4</v>
      </c>
      <c r="K95">
        <v>0</v>
      </c>
    </row>
    <row r="96" spans="1:11" x14ac:dyDescent="0.25">
      <c r="A96">
        <v>1702411</v>
      </c>
      <c r="B96">
        <v>470</v>
      </c>
      <c r="C96" t="s">
        <v>14</v>
      </c>
      <c r="D96" s="1">
        <v>42455.818055555559</v>
      </c>
      <c r="E96" t="s">
        <v>29</v>
      </c>
      <c r="F96" t="s">
        <v>55</v>
      </c>
      <c r="G96">
        <v>-122.28079</v>
      </c>
      <c r="H96">
        <v>47.539825</v>
      </c>
      <c r="I96" t="s">
        <v>195</v>
      </c>
      <c r="J96">
        <f t="shared" si="1"/>
        <v>1</v>
      </c>
      <c r="K96">
        <v>3</v>
      </c>
    </row>
    <row r="97" spans="1:11" x14ac:dyDescent="0.25">
      <c r="A97">
        <v>1702412</v>
      </c>
      <c r="B97">
        <v>184</v>
      </c>
      <c r="C97" t="s">
        <v>149</v>
      </c>
      <c r="D97" s="1">
        <v>42455.814583333333</v>
      </c>
      <c r="E97" t="s">
        <v>67</v>
      </c>
      <c r="F97" t="s">
        <v>68</v>
      </c>
      <c r="G97">
        <v>-122.33759000000001</v>
      </c>
      <c r="H97">
        <v>47.611206000000003</v>
      </c>
      <c r="I97" t="s">
        <v>196</v>
      </c>
      <c r="J97">
        <f t="shared" si="1"/>
        <v>5</v>
      </c>
      <c r="K97">
        <v>0</v>
      </c>
    </row>
    <row r="98" spans="1:11" x14ac:dyDescent="0.25">
      <c r="A98">
        <v>1702413</v>
      </c>
      <c r="B98">
        <v>139</v>
      </c>
      <c r="C98" t="s">
        <v>197</v>
      </c>
      <c r="D98" s="1">
        <v>42455.81527777778</v>
      </c>
      <c r="E98" t="s">
        <v>71</v>
      </c>
      <c r="F98" t="s">
        <v>110</v>
      </c>
      <c r="G98">
        <v>-122.357445</v>
      </c>
      <c r="H98">
        <v>47.705097000000002</v>
      </c>
      <c r="I98" t="s">
        <v>198</v>
      </c>
      <c r="J98">
        <f t="shared" si="1"/>
        <v>1</v>
      </c>
      <c r="K98">
        <v>2</v>
      </c>
    </row>
    <row r="99" spans="1:11" x14ac:dyDescent="0.25">
      <c r="A99">
        <v>1702414</v>
      </c>
      <c r="B99">
        <v>161</v>
      </c>
      <c r="C99" t="s">
        <v>35</v>
      </c>
      <c r="D99" s="1">
        <v>42455.814583333333</v>
      </c>
      <c r="E99" t="s">
        <v>71</v>
      </c>
      <c r="F99" t="s">
        <v>110</v>
      </c>
      <c r="G99">
        <v>-122.33293999999999</v>
      </c>
      <c r="H99">
        <v>47.615882999999997</v>
      </c>
      <c r="I99" t="s">
        <v>199</v>
      </c>
      <c r="J99">
        <f t="shared" si="1"/>
        <v>2</v>
      </c>
      <c r="K99">
        <v>2</v>
      </c>
    </row>
    <row r="100" spans="1:11" x14ac:dyDescent="0.25">
      <c r="A100">
        <v>1702415</v>
      </c>
      <c r="B100">
        <v>245</v>
      </c>
      <c r="C100" t="s">
        <v>32</v>
      </c>
      <c r="D100" s="1">
        <v>42455.813194444447</v>
      </c>
      <c r="E100" t="s">
        <v>71</v>
      </c>
      <c r="F100" t="s">
        <v>72</v>
      </c>
      <c r="G100">
        <v>-122.329155</v>
      </c>
      <c r="H100">
        <v>47.618237000000001</v>
      </c>
      <c r="I100" t="s">
        <v>200</v>
      </c>
      <c r="J100">
        <f t="shared" si="1"/>
        <v>1</v>
      </c>
      <c r="K100">
        <v>0</v>
      </c>
    </row>
    <row r="101" spans="1:11" x14ac:dyDescent="0.25">
      <c r="A101">
        <v>1702416</v>
      </c>
      <c r="B101">
        <v>281</v>
      </c>
      <c r="C101" t="s">
        <v>26</v>
      </c>
      <c r="D101" s="1">
        <v>42455.813888888886</v>
      </c>
      <c r="E101" t="s">
        <v>78</v>
      </c>
      <c r="F101" t="s">
        <v>113</v>
      </c>
      <c r="G101">
        <v>-122.36399</v>
      </c>
      <c r="H101">
        <v>47.658943000000001</v>
      </c>
      <c r="I101" t="s">
        <v>201</v>
      </c>
      <c r="J101">
        <f t="shared" si="1"/>
        <v>1</v>
      </c>
      <c r="K101">
        <v>1</v>
      </c>
    </row>
    <row r="102" spans="1:11" x14ac:dyDescent="0.25">
      <c r="A102">
        <v>1702417</v>
      </c>
      <c r="B102">
        <v>460</v>
      </c>
      <c r="C102" t="s">
        <v>18</v>
      </c>
      <c r="D102" s="1">
        <v>42455.837500000001</v>
      </c>
      <c r="E102" t="s">
        <v>145</v>
      </c>
      <c r="F102" t="s">
        <v>146</v>
      </c>
      <c r="G102">
        <v>-122.344696</v>
      </c>
      <c r="H102">
        <v>47.705047999999998</v>
      </c>
      <c r="I102" t="s">
        <v>202</v>
      </c>
      <c r="J102">
        <f t="shared" si="1"/>
        <v>1</v>
      </c>
      <c r="K102">
        <v>3</v>
      </c>
    </row>
    <row r="103" spans="1:11" x14ac:dyDescent="0.25">
      <c r="A103">
        <v>1702418</v>
      </c>
      <c r="B103">
        <v>460</v>
      </c>
      <c r="C103" t="s">
        <v>18</v>
      </c>
      <c r="D103" s="1">
        <v>42455.822222222225</v>
      </c>
      <c r="E103" t="s">
        <v>71</v>
      </c>
      <c r="F103" t="s">
        <v>110</v>
      </c>
      <c r="G103">
        <v>-122.33244999999999</v>
      </c>
      <c r="H103">
        <v>47.607264999999998</v>
      </c>
      <c r="I103" t="s">
        <v>203</v>
      </c>
      <c r="J103">
        <f t="shared" si="1"/>
        <v>1</v>
      </c>
      <c r="K103">
        <v>1</v>
      </c>
    </row>
    <row r="104" spans="1:11" x14ac:dyDescent="0.25">
      <c r="A104">
        <v>1702419</v>
      </c>
      <c r="B104">
        <v>242</v>
      </c>
      <c r="C104" t="s">
        <v>10</v>
      </c>
      <c r="D104" s="1">
        <v>42455.822222222225</v>
      </c>
      <c r="E104" t="s">
        <v>130</v>
      </c>
      <c r="F104" t="s">
        <v>131</v>
      </c>
      <c r="G104">
        <v>-122.29231</v>
      </c>
      <c r="H104">
        <v>47.730114</v>
      </c>
      <c r="I104" t="s">
        <v>204</v>
      </c>
      <c r="J104">
        <f t="shared" si="1"/>
        <v>1</v>
      </c>
      <c r="K104">
        <v>1</v>
      </c>
    </row>
    <row r="105" spans="1:11" x14ac:dyDescent="0.25">
      <c r="A105">
        <v>1702420</v>
      </c>
      <c r="B105">
        <v>200</v>
      </c>
      <c r="C105" t="s">
        <v>187</v>
      </c>
      <c r="D105" s="1">
        <v>42455.829861111109</v>
      </c>
      <c r="E105" t="s">
        <v>47</v>
      </c>
      <c r="F105" t="s">
        <v>177</v>
      </c>
      <c r="G105">
        <v>-122.32836</v>
      </c>
      <c r="H105">
        <v>47.613697000000002</v>
      </c>
      <c r="I105" t="s">
        <v>205</v>
      </c>
      <c r="J105">
        <f t="shared" si="1"/>
        <v>1</v>
      </c>
      <c r="K105">
        <v>3</v>
      </c>
    </row>
    <row r="106" spans="1:11" x14ac:dyDescent="0.25">
      <c r="A106">
        <v>1702421</v>
      </c>
      <c r="B106">
        <v>280</v>
      </c>
      <c r="C106" t="s">
        <v>22</v>
      </c>
      <c r="D106" s="1">
        <v>42455.822222222225</v>
      </c>
      <c r="E106" t="s">
        <v>95</v>
      </c>
      <c r="F106" t="s">
        <v>96</v>
      </c>
      <c r="G106">
        <v>-122.264465</v>
      </c>
      <c r="H106">
        <v>47.674720000000001</v>
      </c>
      <c r="I106" t="s">
        <v>206</v>
      </c>
      <c r="J106">
        <f t="shared" si="1"/>
        <v>1</v>
      </c>
      <c r="K106">
        <v>0</v>
      </c>
    </row>
    <row r="107" spans="1:11" x14ac:dyDescent="0.25">
      <c r="A107">
        <v>1702422</v>
      </c>
      <c r="B107">
        <v>261</v>
      </c>
      <c r="C107" t="s">
        <v>207</v>
      </c>
      <c r="D107" s="1">
        <v>42455.838194444441</v>
      </c>
      <c r="E107" t="s">
        <v>64</v>
      </c>
      <c r="F107" t="s">
        <v>65</v>
      </c>
      <c r="G107">
        <v>-122.38155999999999</v>
      </c>
      <c r="H107">
        <v>47.554726000000002</v>
      </c>
      <c r="I107" t="s">
        <v>208</v>
      </c>
      <c r="J107">
        <f t="shared" si="1"/>
        <v>1</v>
      </c>
      <c r="K107">
        <v>4</v>
      </c>
    </row>
    <row r="108" spans="1:11" x14ac:dyDescent="0.25">
      <c r="A108">
        <v>1702423</v>
      </c>
      <c r="B108">
        <v>250</v>
      </c>
      <c r="C108" t="s">
        <v>59</v>
      </c>
      <c r="D108" s="1">
        <v>42455.830555555556</v>
      </c>
      <c r="E108" t="s">
        <v>78</v>
      </c>
      <c r="F108" t="s">
        <v>79</v>
      </c>
      <c r="G108">
        <v>-122.38589</v>
      </c>
      <c r="H108">
        <v>47.675960000000003</v>
      </c>
      <c r="I108" t="s">
        <v>209</v>
      </c>
      <c r="J108">
        <f t="shared" si="1"/>
        <v>1</v>
      </c>
      <c r="K108">
        <v>3</v>
      </c>
    </row>
    <row r="109" spans="1:11" x14ac:dyDescent="0.25">
      <c r="A109">
        <v>1702424</v>
      </c>
      <c r="B109">
        <v>220</v>
      </c>
      <c r="C109" t="s">
        <v>173</v>
      </c>
      <c r="D109" s="1">
        <v>42455.822916666664</v>
      </c>
      <c r="E109" t="s">
        <v>15</v>
      </c>
      <c r="F109" t="s">
        <v>92</v>
      </c>
      <c r="G109">
        <v>-122.31843000000001</v>
      </c>
      <c r="H109">
        <v>47.599186000000003</v>
      </c>
      <c r="I109" t="s">
        <v>93</v>
      </c>
      <c r="J109">
        <f t="shared" si="1"/>
        <v>2</v>
      </c>
      <c r="K109">
        <v>2</v>
      </c>
    </row>
    <row r="110" spans="1:11" x14ac:dyDescent="0.25">
      <c r="A110">
        <v>1702425</v>
      </c>
      <c r="B110">
        <v>63</v>
      </c>
      <c r="C110" t="s">
        <v>87</v>
      </c>
      <c r="D110" s="1">
        <v>42455.835416666669</v>
      </c>
      <c r="E110" t="s">
        <v>71</v>
      </c>
      <c r="F110" t="s">
        <v>72</v>
      </c>
      <c r="G110">
        <v>-122.33799999999999</v>
      </c>
      <c r="H110">
        <v>47.608289999999997</v>
      </c>
      <c r="I110" t="s">
        <v>210</v>
      </c>
      <c r="J110">
        <f t="shared" si="1"/>
        <v>1</v>
      </c>
      <c r="K110">
        <v>0</v>
      </c>
    </row>
    <row r="111" spans="1:11" x14ac:dyDescent="0.25">
      <c r="A111">
        <v>1702426</v>
      </c>
      <c r="B111">
        <v>50</v>
      </c>
      <c r="C111" t="s">
        <v>211</v>
      </c>
      <c r="D111" s="1">
        <v>42455.820833333331</v>
      </c>
      <c r="E111" t="s">
        <v>71</v>
      </c>
      <c r="F111" t="s">
        <v>126</v>
      </c>
      <c r="G111">
        <v>-122.37893</v>
      </c>
      <c r="H111">
        <v>47.684128000000001</v>
      </c>
      <c r="I111" t="s">
        <v>212</v>
      </c>
      <c r="J111">
        <f t="shared" si="1"/>
        <v>1</v>
      </c>
      <c r="K111">
        <v>2</v>
      </c>
    </row>
    <row r="112" spans="1:11" x14ac:dyDescent="0.25">
      <c r="A112">
        <v>1702427</v>
      </c>
      <c r="B112">
        <v>63</v>
      </c>
      <c r="C112" t="s">
        <v>87</v>
      </c>
      <c r="D112" s="1">
        <v>42455.832638888889</v>
      </c>
      <c r="E112" t="s">
        <v>67</v>
      </c>
      <c r="F112" t="s">
        <v>193</v>
      </c>
      <c r="G112">
        <v>-122.339355</v>
      </c>
      <c r="H112">
        <v>47.609783</v>
      </c>
      <c r="I112" t="s">
        <v>213</v>
      </c>
      <c r="J112">
        <f t="shared" si="1"/>
        <v>1</v>
      </c>
      <c r="K112">
        <v>1</v>
      </c>
    </row>
    <row r="113" spans="1:11" x14ac:dyDescent="0.25">
      <c r="A113">
        <v>1702428</v>
      </c>
      <c r="B113">
        <v>41</v>
      </c>
      <c r="C113" t="s">
        <v>134</v>
      </c>
      <c r="D113" s="1">
        <v>42455.830555555556</v>
      </c>
      <c r="E113" t="s">
        <v>71</v>
      </c>
      <c r="F113" t="s">
        <v>110</v>
      </c>
      <c r="G113">
        <v>-122.34448999999999</v>
      </c>
      <c r="H113">
        <v>47.684401999999999</v>
      </c>
      <c r="I113" t="s">
        <v>214</v>
      </c>
      <c r="J113">
        <f t="shared" si="1"/>
        <v>1</v>
      </c>
      <c r="K113">
        <v>2</v>
      </c>
    </row>
    <row r="114" spans="1:11" x14ac:dyDescent="0.25">
      <c r="A114">
        <v>1702429</v>
      </c>
      <c r="B114">
        <v>280</v>
      </c>
      <c r="C114" t="s">
        <v>22</v>
      </c>
      <c r="D114" s="1">
        <v>42455.820138888892</v>
      </c>
      <c r="E114" t="s">
        <v>64</v>
      </c>
      <c r="F114" t="s">
        <v>215</v>
      </c>
      <c r="G114">
        <v>-122.36811</v>
      </c>
      <c r="H114">
        <v>47.56653</v>
      </c>
      <c r="I114" t="s">
        <v>216</v>
      </c>
      <c r="J114">
        <f t="shared" si="1"/>
        <v>1</v>
      </c>
      <c r="K114">
        <v>2</v>
      </c>
    </row>
    <row r="115" spans="1:11" x14ac:dyDescent="0.25">
      <c r="A115">
        <v>1702430</v>
      </c>
      <c r="B115">
        <v>200</v>
      </c>
      <c r="C115" t="s">
        <v>187</v>
      </c>
      <c r="D115" s="1">
        <v>42455.821527777778</v>
      </c>
      <c r="E115" t="s">
        <v>81</v>
      </c>
      <c r="F115" t="s">
        <v>154</v>
      </c>
      <c r="G115">
        <v>-122.32589</v>
      </c>
      <c r="H115">
        <v>47.640880000000003</v>
      </c>
      <c r="I115" t="s">
        <v>217</v>
      </c>
      <c r="J115">
        <f t="shared" si="1"/>
        <v>3</v>
      </c>
      <c r="K115">
        <v>4</v>
      </c>
    </row>
    <row r="116" spans="1:11" x14ac:dyDescent="0.25">
      <c r="A116">
        <v>1702431</v>
      </c>
      <c r="B116">
        <v>161</v>
      </c>
      <c r="C116" t="s">
        <v>35</v>
      </c>
      <c r="D116" s="1">
        <v>42455.823611111111</v>
      </c>
      <c r="E116" t="s">
        <v>43</v>
      </c>
      <c r="F116" t="s">
        <v>218</v>
      </c>
      <c r="G116">
        <v>-122.33327</v>
      </c>
      <c r="H116">
        <v>47.593837999999998</v>
      </c>
      <c r="I116" t="s">
        <v>219</v>
      </c>
      <c r="J116">
        <f t="shared" si="1"/>
        <v>1</v>
      </c>
      <c r="K116">
        <v>4</v>
      </c>
    </row>
    <row r="117" spans="1:11" x14ac:dyDescent="0.25">
      <c r="A117">
        <v>1702432</v>
      </c>
      <c r="B117">
        <v>63</v>
      </c>
      <c r="C117" t="s">
        <v>87</v>
      </c>
      <c r="D117" s="1">
        <v>42455.830555555556</v>
      </c>
      <c r="E117" t="s">
        <v>67</v>
      </c>
      <c r="F117" t="s">
        <v>68</v>
      </c>
      <c r="G117">
        <v>-122.33144</v>
      </c>
      <c r="H117">
        <v>47.611710000000002</v>
      </c>
      <c r="I117" t="s">
        <v>220</v>
      </c>
      <c r="J117">
        <f t="shared" si="1"/>
        <v>2</v>
      </c>
      <c r="K117">
        <v>2</v>
      </c>
    </row>
    <row r="118" spans="1:11" x14ac:dyDescent="0.25">
      <c r="A118">
        <v>1702433</v>
      </c>
      <c r="B118">
        <v>250</v>
      </c>
      <c r="C118" t="s">
        <v>59</v>
      </c>
      <c r="D118" s="1">
        <v>42455.838888888888</v>
      </c>
      <c r="E118" t="s">
        <v>29</v>
      </c>
      <c r="F118" t="s">
        <v>156</v>
      </c>
      <c r="G118">
        <v>-122.2826</v>
      </c>
      <c r="H118">
        <v>47.539786999999997</v>
      </c>
      <c r="I118" t="s">
        <v>221</v>
      </c>
      <c r="J118">
        <f t="shared" si="1"/>
        <v>1</v>
      </c>
      <c r="K118">
        <v>1</v>
      </c>
    </row>
    <row r="119" spans="1:11" x14ac:dyDescent="0.25">
      <c r="A119">
        <v>1702434</v>
      </c>
      <c r="B119">
        <v>200</v>
      </c>
      <c r="C119" t="s">
        <v>187</v>
      </c>
      <c r="D119" s="1">
        <v>42455.839583333334</v>
      </c>
      <c r="E119" t="s">
        <v>23</v>
      </c>
      <c r="F119" t="s">
        <v>189</v>
      </c>
      <c r="G119">
        <v>-122.35693000000001</v>
      </c>
      <c r="H119">
        <v>47.637774999999998</v>
      </c>
      <c r="I119" t="s">
        <v>222</v>
      </c>
      <c r="J119">
        <f t="shared" si="1"/>
        <v>1</v>
      </c>
      <c r="K119">
        <v>3</v>
      </c>
    </row>
    <row r="120" spans="1:11" x14ac:dyDescent="0.25">
      <c r="A120">
        <v>1702435</v>
      </c>
      <c r="B120">
        <v>220</v>
      </c>
      <c r="C120" t="s">
        <v>173</v>
      </c>
      <c r="D120" s="1">
        <v>42455.839583333334</v>
      </c>
      <c r="E120" t="s">
        <v>67</v>
      </c>
      <c r="F120" t="s">
        <v>68</v>
      </c>
      <c r="G120">
        <v>-122.33732000000001</v>
      </c>
      <c r="H120">
        <v>47.611319999999999</v>
      </c>
      <c r="I120" t="s">
        <v>223</v>
      </c>
      <c r="J120">
        <f t="shared" si="1"/>
        <v>7</v>
      </c>
      <c r="K120">
        <v>3</v>
      </c>
    </row>
    <row r="121" spans="1:11" x14ac:dyDescent="0.25">
      <c r="A121">
        <v>1702436</v>
      </c>
      <c r="B121">
        <v>50</v>
      </c>
      <c r="C121" t="s">
        <v>211</v>
      </c>
      <c r="D121" s="1">
        <v>42455.839583333334</v>
      </c>
      <c r="E121" t="s">
        <v>71</v>
      </c>
      <c r="F121" t="s">
        <v>72</v>
      </c>
      <c r="G121">
        <v>-122.35536</v>
      </c>
      <c r="H121">
        <v>47.67183</v>
      </c>
      <c r="I121" t="s">
        <v>224</v>
      </c>
      <c r="J121">
        <f t="shared" si="1"/>
        <v>1</v>
      </c>
      <c r="K121">
        <v>1</v>
      </c>
    </row>
    <row r="122" spans="1:11" x14ac:dyDescent="0.25">
      <c r="A122">
        <v>1702437</v>
      </c>
      <c r="B122">
        <v>201</v>
      </c>
      <c r="C122" t="s">
        <v>36</v>
      </c>
      <c r="D122" s="1">
        <v>42455.839583333334</v>
      </c>
      <c r="E122" t="s">
        <v>11</v>
      </c>
      <c r="F122" t="s">
        <v>33</v>
      </c>
      <c r="G122">
        <v>-122.29101</v>
      </c>
      <c r="H122">
        <v>47.57076</v>
      </c>
      <c r="I122" t="s">
        <v>225</v>
      </c>
      <c r="J122">
        <f t="shared" si="1"/>
        <v>1</v>
      </c>
      <c r="K122">
        <v>1</v>
      </c>
    </row>
    <row r="123" spans="1:11" x14ac:dyDescent="0.25">
      <c r="A123">
        <v>1702438</v>
      </c>
      <c r="B123">
        <v>460</v>
      </c>
      <c r="C123" t="s">
        <v>18</v>
      </c>
      <c r="D123" s="1">
        <v>42455.850694444445</v>
      </c>
      <c r="E123" t="s">
        <v>71</v>
      </c>
      <c r="F123" t="s">
        <v>72</v>
      </c>
      <c r="G123">
        <v>-122.29677</v>
      </c>
      <c r="H123">
        <v>47.601654000000003</v>
      </c>
      <c r="I123" t="s">
        <v>226</v>
      </c>
      <c r="J123">
        <f t="shared" si="1"/>
        <v>2</v>
      </c>
      <c r="K123">
        <v>2</v>
      </c>
    </row>
    <row r="124" spans="1:11" x14ac:dyDescent="0.25">
      <c r="A124">
        <v>1702439</v>
      </c>
      <c r="B124">
        <v>177</v>
      </c>
      <c r="C124" t="s">
        <v>61</v>
      </c>
      <c r="D124" s="1">
        <v>42455.842361111114</v>
      </c>
      <c r="E124" t="s">
        <v>43</v>
      </c>
      <c r="F124" t="s">
        <v>44</v>
      </c>
      <c r="G124">
        <v>-122.32767</v>
      </c>
      <c r="H124">
        <v>47.599193999999997</v>
      </c>
      <c r="I124" t="s">
        <v>227</v>
      </c>
      <c r="J124">
        <f t="shared" si="1"/>
        <v>1</v>
      </c>
      <c r="K124">
        <v>2</v>
      </c>
    </row>
    <row r="125" spans="1:11" x14ac:dyDescent="0.25">
      <c r="A125">
        <v>1702440</v>
      </c>
      <c r="B125">
        <v>415</v>
      </c>
      <c r="C125" t="s">
        <v>228</v>
      </c>
      <c r="D125" s="1">
        <v>42455.84375</v>
      </c>
      <c r="E125" t="s">
        <v>67</v>
      </c>
      <c r="F125" t="s">
        <v>68</v>
      </c>
      <c r="G125">
        <v>-122.33113</v>
      </c>
      <c r="H125">
        <v>47.612533999999997</v>
      </c>
      <c r="I125" t="s">
        <v>229</v>
      </c>
      <c r="J125">
        <f t="shared" si="1"/>
        <v>1</v>
      </c>
      <c r="K125">
        <v>4</v>
      </c>
    </row>
    <row r="126" spans="1:11" x14ac:dyDescent="0.25">
      <c r="A126">
        <v>1702441</v>
      </c>
      <c r="B126">
        <v>281</v>
      </c>
      <c r="C126" t="s">
        <v>26</v>
      </c>
      <c r="D126" s="1">
        <v>42455.847222222219</v>
      </c>
      <c r="E126" t="s">
        <v>71</v>
      </c>
      <c r="F126" t="s">
        <v>110</v>
      </c>
      <c r="G126">
        <v>-122.26851000000001</v>
      </c>
      <c r="H126">
        <v>47.528422999999997</v>
      </c>
      <c r="I126" t="s">
        <v>230</v>
      </c>
      <c r="J126">
        <f t="shared" si="1"/>
        <v>1</v>
      </c>
      <c r="K126">
        <v>1</v>
      </c>
    </row>
    <row r="127" spans="1:11" x14ac:dyDescent="0.25">
      <c r="A127">
        <v>1702442</v>
      </c>
      <c r="B127">
        <v>350</v>
      </c>
      <c r="C127" t="s">
        <v>76</v>
      </c>
      <c r="D127" s="1">
        <v>42455.842361111114</v>
      </c>
      <c r="E127" t="s">
        <v>47</v>
      </c>
      <c r="F127" t="s">
        <v>177</v>
      </c>
      <c r="G127">
        <v>-122.32559999999999</v>
      </c>
      <c r="H127">
        <v>47.608159999999998</v>
      </c>
      <c r="I127" t="s">
        <v>231</v>
      </c>
      <c r="J127">
        <f t="shared" si="1"/>
        <v>1</v>
      </c>
      <c r="K127">
        <v>3</v>
      </c>
    </row>
    <row r="128" spans="1:11" x14ac:dyDescent="0.25">
      <c r="A128">
        <v>1702443</v>
      </c>
      <c r="B128">
        <v>470</v>
      </c>
      <c r="C128" t="s">
        <v>14</v>
      </c>
      <c r="D128" s="1">
        <v>42455.840277777781</v>
      </c>
      <c r="E128" t="s">
        <v>52</v>
      </c>
      <c r="F128" t="s">
        <v>232</v>
      </c>
      <c r="G128">
        <v>-122.37679</v>
      </c>
      <c r="H128">
        <v>47.685966000000001</v>
      </c>
      <c r="I128" t="s">
        <v>233</v>
      </c>
      <c r="J128">
        <f t="shared" si="1"/>
        <v>1</v>
      </c>
      <c r="K128">
        <v>4</v>
      </c>
    </row>
    <row r="129" spans="1:11" x14ac:dyDescent="0.25">
      <c r="A129">
        <v>1702444</v>
      </c>
      <c r="B129">
        <v>245</v>
      </c>
      <c r="C129" t="s">
        <v>32</v>
      </c>
      <c r="D129" s="1">
        <v>42455.84097222222</v>
      </c>
      <c r="E129" t="s">
        <v>64</v>
      </c>
      <c r="F129" t="s">
        <v>215</v>
      </c>
      <c r="G129">
        <v>-122.38714</v>
      </c>
      <c r="H129">
        <v>47.582996000000001</v>
      </c>
      <c r="I129" t="s">
        <v>234</v>
      </c>
      <c r="J129">
        <f t="shared" si="1"/>
        <v>1</v>
      </c>
      <c r="K129">
        <v>2</v>
      </c>
    </row>
    <row r="130" spans="1:11" x14ac:dyDescent="0.25">
      <c r="A130">
        <v>1702445</v>
      </c>
      <c r="B130">
        <v>250</v>
      </c>
      <c r="C130" t="s">
        <v>59</v>
      </c>
      <c r="D130" s="1">
        <v>42455.847916666666</v>
      </c>
      <c r="E130" t="s">
        <v>52</v>
      </c>
      <c r="F130" t="s">
        <v>232</v>
      </c>
      <c r="G130">
        <v>-122.40487</v>
      </c>
      <c r="H130">
        <v>47.679904999999998</v>
      </c>
      <c r="I130" t="s">
        <v>235</v>
      </c>
      <c r="J130">
        <f t="shared" ref="J130:J193" si="2">COUNTIF($I$2:$I$1046,I130)</f>
        <v>1</v>
      </c>
      <c r="K130">
        <v>2</v>
      </c>
    </row>
    <row r="131" spans="1:11" x14ac:dyDescent="0.25">
      <c r="A131">
        <v>1702446</v>
      </c>
      <c r="B131">
        <v>177</v>
      </c>
      <c r="C131" t="s">
        <v>61</v>
      </c>
      <c r="D131" s="1">
        <v>42455.854166666664</v>
      </c>
      <c r="E131" t="s">
        <v>67</v>
      </c>
      <c r="F131" t="s">
        <v>100</v>
      </c>
      <c r="G131">
        <v>-122.34287999999999</v>
      </c>
      <c r="H131">
        <v>47.609814</v>
      </c>
      <c r="I131" t="s">
        <v>236</v>
      </c>
      <c r="J131">
        <f t="shared" si="2"/>
        <v>10</v>
      </c>
      <c r="K131">
        <v>2</v>
      </c>
    </row>
    <row r="132" spans="1:11" x14ac:dyDescent="0.25">
      <c r="A132">
        <v>1702447</v>
      </c>
      <c r="B132">
        <v>280</v>
      </c>
      <c r="C132" t="s">
        <v>22</v>
      </c>
      <c r="D132" s="1">
        <v>42455.857638888891</v>
      </c>
      <c r="E132" t="s">
        <v>15</v>
      </c>
      <c r="F132" t="s">
        <v>92</v>
      </c>
      <c r="G132">
        <v>-122.31677999999999</v>
      </c>
      <c r="H132">
        <v>47.603099999999998</v>
      </c>
      <c r="I132" t="s">
        <v>237</v>
      </c>
      <c r="J132">
        <f t="shared" si="2"/>
        <v>1</v>
      </c>
      <c r="K132">
        <v>2</v>
      </c>
    </row>
    <row r="133" spans="1:11" x14ac:dyDescent="0.25">
      <c r="A133">
        <v>1702448</v>
      </c>
      <c r="B133">
        <v>177</v>
      </c>
      <c r="C133" t="s">
        <v>61</v>
      </c>
      <c r="D133" s="1">
        <v>42455.849305555559</v>
      </c>
      <c r="E133" t="s">
        <v>71</v>
      </c>
      <c r="F133" t="s">
        <v>126</v>
      </c>
      <c r="G133">
        <v>-122.34287999999999</v>
      </c>
      <c r="H133">
        <v>47.609814</v>
      </c>
      <c r="I133" t="s">
        <v>236</v>
      </c>
      <c r="J133">
        <f t="shared" si="2"/>
        <v>10</v>
      </c>
      <c r="K133">
        <v>1</v>
      </c>
    </row>
    <row r="134" spans="1:11" x14ac:dyDescent="0.25">
      <c r="A134">
        <v>1702449</v>
      </c>
      <c r="B134">
        <v>245</v>
      </c>
      <c r="C134" t="s">
        <v>32</v>
      </c>
      <c r="D134" s="1">
        <v>42455.850694444445</v>
      </c>
      <c r="E134" t="s">
        <v>43</v>
      </c>
      <c r="F134" t="s">
        <v>44</v>
      </c>
      <c r="G134">
        <v>-122.32375999999999</v>
      </c>
      <c r="H134">
        <v>47.598346999999997</v>
      </c>
      <c r="I134" t="s">
        <v>238</v>
      </c>
      <c r="J134">
        <f t="shared" si="2"/>
        <v>1</v>
      </c>
      <c r="K134">
        <v>2</v>
      </c>
    </row>
    <row r="135" spans="1:11" x14ac:dyDescent="0.25">
      <c r="A135">
        <v>1702450</v>
      </c>
      <c r="B135">
        <v>40</v>
      </c>
      <c r="C135" t="s">
        <v>119</v>
      </c>
      <c r="D135" s="1">
        <v>42455.849305555559</v>
      </c>
      <c r="E135" t="s">
        <v>71</v>
      </c>
      <c r="F135" t="s">
        <v>126</v>
      </c>
      <c r="G135">
        <v>-122.38759</v>
      </c>
      <c r="H135">
        <v>47.670914000000003</v>
      </c>
      <c r="I135" t="s">
        <v>239</v>
      </c>
      <c r="J135">
        <f t="shared" si="2"/>
        <v>1</v>
      </c>
      <c r="K135">
        <v>0</v>
      </c>
    </row>
    <row r="136" spans="1:11" x14ac:dyDescent="0.25">
      <c r="A136">
        <v>1702451</v>
      </c>
      <c r="B136">
        <v>192</v>
      </c>
      <c r="C136" t="s">
        <v>240</v>
      </c>
      <c r="D136" s="1">
        <v>42455.847916666666</v>
      </c>
      <c r="E136" t="s">
        <v>52</v>
      </c>
      <c r="F136" t="s">
        <v>120</v>
      </c>
      <c r="G136">
        <v>-122.35406999999999</v>
      </c>
      <c r="H136">
        <v>47.701453999999998</v>
      </c>
      <c r="I136" t="s">
        <v>241</v>
      </c>
      <c r="J136">
        <f t="shared" si="2"/>
        <v>1</v>
      </c>
      <c r="K136">
        <v>0</v>
      </c>
    </row>
    <row r="137" spans="1:11" x14ac:dyDescent="0.25">
      <c r="A137">
        <v>1702452</v>
      </c>
      <c r="B137">
        <v>470</v>
      </c>
      <c r="C137" t="s">
        <v>14</v>
      </c>
      <c r="D137" s="1">
        <v>42455.850694444445</v>
      </c>
      <c r="E137" t="s">
        <v>64</v>
      </c>
      <c r="F137" t="s">
        <v>65</v>
      </c>
      <c r="G137">
        <v>-122.38554000000001</v>
      </c>
      <c r="H137">
        <v>47.558399999999999</v>
      </c>
      <c r="I137" t="s">
        <v>242</v>
      </c>
      <c r="J137">
        <f t="shared" si="2"/>
        <v>1</v>
      </c>
      <c r="K137">
        <v>4</v>
      </c>
    </row>
    <row r="138" spans="1:11" x14ac:dyDescent="0.25">
      <c r="A138">
        <v>1702453</v>
      </c>
      <c r="B138">
        <v>64</v>
      </c>
      <c r="C138" t="s">
        <v>158</v>
      </c>
      <c r="D138" s="1">
        <v>42455.85833333333</v>
      </c>
      <c r="E138" t="s">
        <v>23</v>
      </c>
      <c r="F138" t="s">
        <v>24</v>
      </c>
      <c r="G138">
        <v>-122.37614000000001</v>
      </c>
      <c r="H138">
        <v>47.636336999999997</v>
      </c>
      <c r="I138" t="s">
        <v>243</v>
      </c>
      <c r="J138">
        <f t="shared" si="2"/>
        <v>2</v>
      </c>
      <c r="K138">
        <v>1</v>
      </c>
    </row>
    <row r="139" spans="1:11" x14ac:dyDescent="0.25">
      <c r="A139">
        <v>1702454</v>
      </c>
      <c r="B139">
        <v>245</v>
      </c>
      <c r="C139" t="s">
        <v>32</v>
      </c>
      <c r="D139" s="1">
        <v>42455.862500000003</v>
      </c>
      <c r="E139" t="s">
        <v>11</v>
      </c>
      <c r="F139" t="s">
        <v>33</v>
      </c>
      <c r="G139">
        <v>-122.291</v>
      </c>
      <c r="H139">
        <v>47.571579999999997</v>
      </c>
      <c r="I139" t="s">
        <v>244</v>
      </c>
      <c r="J139">
        <f t="shared" si="2"/>
        <v>1</v>
      </c>
      <c r="K139">
        <v>2</v>
      </c>
    </row>
    <row r="140" spans="1:11" x14ac:dyDescent="0.25">
      <c r="A140">
        <v>1702455</v>
      </c>
      <c r="B140">
        <v>430</v>
      </c>
      <c r="C140" t="s">
        <v>70</v>
      </c>
      <c r="D140" s="1">
        <v>42455.85833333333</v>
      </c>
      <c r="E140" t="s">
        <v>15</v>
      </c>
      <c r="F140" t="s">
        <v>16</v>
      </c>
      <c r="G140">
        <v>-122.29677</v>
      </c>
      <c r="H140">
        <v>47.601654000000003</v>
      </c>
      <c r="I140" t="s">
        <v>226</v>
      </c>
      <c r="J140">
        <f t="shared" si="2"/>
        <v>2</v>
      </c>
      <c r="K140">
        <v>1</v>
      </c>
    </row>
    <row r="141" spans="1:11" x14ac:dyDescent="0.25">
      <c r="A141">
        <v>1702456</v>
      </c>
      <c r="B141">
        <v>41</v>
      </c>
      <c r="C141" t="s">
        <v>134</v>
      </c>
      <c r="D141" s="1">
        <v>42455.855555555558</v>
      </c>
      <c r="E141" t="s">
        <v>11</v>
      </c>
      <c r="F141" t="s">
        <v>245</v>
      </c>
      <c r="G141">
        <v>-122.30830400000001</v>
      </c>
      <c r="H141">
        <v>47.587032000000001</v>
      </c>
      <c r="I141" t="s">
        <v>246</v>
      </c>
      <c r="J141">
        <f t="shared" si="2"/>
        <v>1</v>
      </c>
      <c r="K141">
        <v>2</v>
      </c>
    </row>
    <row r="142" spans="1:11" x14ac:dyDescent="0.25">
      <c r="A142">
        <v>1702457</v>
      </c>
      <c r="B142">
        <v>470</v>
      </c>
      <c r="C142" t="s">
        <v>14</v>
      </c>
      <c r="D142" s="1">
        <v>42455.856944444444</v>
      </c>
      <c r="E142" t="s">
        <v>11</v>
      </c>
      <c r="F142" t="s">
        <v>33</v>
      </c>
      <c r="G142">
        <v>-122.29241</v>
      </c>
      <c r="H142">
        <v>47.589877999999999</v>
      </c>
      <c r="I142" t="s">
        <v>247</v>
      </c>
      <c r="J142">
        <f t="shared" si="2"/>
        <v>1</v>
      </c>
      <c r="K142">
        <v>0</v>
      </c>
    </row>
    <row r="143" spans="1:11" x14ac:dyDescent="0.25">
      <c r="A143">
        <v>1702458</v>
      </c>
      <c r="B143">
        <v>130</v>
      </c>
      <c r="C143" t="s">
        <v>248</v>
      </c>
      <c r="D143" s="1">
        <v>42455.856249999997</v>
      </c>
      <c r="E143" t="s">
        <v>19</v>
      </c>
      <c r="F143" t="s">
        <v>20</v>
      </c>
      <c r="G143">
        <v>-122.3342</v>
      </c>
      <c r="H143">
        <v>47.582934999999999</v>
      </c>
      <c r="I143" t="s">
        <v>249</v>
      </c>
      <c r="J143">
        <f t="shared" si="2"/>
        <v>2</v>
      </c>
      <c r="K143">
        <v>3</v>
      </c>
    </row>
    <row r="144" spans="1:11" x14ac:dyDescent="0.25">
      <c r="A144">
        <v>1702459</v>
      </c>
      <c r="B144">
        <v>470</v>
      </c>
      <c r="C144" t="s">
        <v>14</v>
      </c>
      <c r="D144" s="1">
        <v>42455.866666666669</v>
      </c>
      <c r="E144" t="s">
        <v>64</v>
      </c>
      <c r="F144" t="s">
        <v>215</v>
      </c>
      <c r="G144">
        <v>-122.38238</v>
      </c>
      <c r="H144">
        <v>47.591312000000002</v>
      </c>
      <c r="I144" t="s">
        <v>250</v>
      </c>
      <c r="J144">
        <f t="shared" si="2"/>
        <v>2</v>
      </c>
      <c r="K144">
        <v>3</v>
      </c>
    </row>
    <row r="145" spans="1:11" x14ac:dyDescent="0.25">
      <c r="A145">
        <v>1702460</v>
      </c>
      <c r="B145">
        <v>410</v>
      </c>
      <c r="C145" t="s">
        <v>140</v>
      </c>
      <c r="D145" s="1">
        <v>42455.861111111109</v>
      </c>
      <c r="E145" t="s">
        <v>95</v>
      </c>
      <c r="F145" t="s">
        <v>96</v>
      </c>
      <c r="G145">
        <v>-122.26365</v>
      </c>
      <c r="H145">
        <v>47.680743999999997</v>
      </c>
      <c r="I145" t="s">
        <v>251</v>
      </c>
      <c r="J145">
        <f t="shared" si="2"/>
        <v>2</v>
      </c>
      <c r="K145">
        <v>4</v>
      </c>
    </row>
    <row r="146" spans="1:11" x14ac:dyDescent="0.25">
      <c r="A146">
        <v>1702461</v>
      </c>
      <c r="B146">
        <v>250</v>
      </c>
      <c r="C146" t="s">
        <v>59</v>
      </c>
      <c r="D146" s="1">
        <v>42455.868055555555</v>
      </c>
      <c r="E146" t="s">
        <v>11</v>
      </c>
      <c r="F146" t="s">
        <v>245</v>
      </c>
      <c r="G146">
        <v>-122.295654</v>
      </c>
      <c r="H146">
        <v>47.558104999999998</v>
      </c>
      <c r="I146" t="s">
        <v>252</v>
      </c>
      <c r="J146">
        <f t="shared" si="2"/>
        <v>1</v>
      </c>
      <c r="K146">
        <v>1</v>
      </c>
    </row>
    <row r="147" spans="1:11" x14ac:dyDescent="0.25">
      <c r="A147">
        <v>1702462</v>
      </c>
      <c r="B147">
        <v>171</v>
      </c>
      <c r="C147" t="s">
        <v>253</v>
      </c>
      <c r="D147" s="1">
        <v>42455.861111111109</v>
      </c>
      <c r="E147" t="s">
        <v>11</v>
      </c>
      <c r="F147" t="s">
        <v>245</v>
      </c>
      <c r="G147">
        <v>-122.31484</v>
      </c>
      <c r="H147">
        <v>47.590767</v>
      </c>
      <c r="I147" t="s">
        <v>254</v>
      </c>
      <c r="J147">
        <f t="shared" si="2"/>
        <v>1</v>
      </c>
      <c r="K147">
        <v>3</v>
      </c>
    </row>
    <row r="148" spans="1:11" x14ac:dyDescent="0.25">
      <c r="A148">
        <v>1702463</v>
      </c>
      <c r="B148">
        <v>203</v>
      </c>
      <c r="C148" t="s">
        <v>161</v>
      </c>
      <c r="D148" s="1">
        <v>42455.871527777781</v>
      </c>
      <c r="E148" t="s">
        <v>23</v>
      </c>
      <c r="F148" t="s">
        <v>189</v>
      </c>
      <c r="G148">
        <v>-122.35625</v>
      </c>
      <c r="H148">
        <v>47.638382</v>
      </c>
      <c r="I148" t="s">
        <v>255</v>
      </c>
      <c r="J148">
        <f t="shared" si="2"/>
        <v>1</v>
      </c>
      <c r="K148">
        <v>3</v>
      </c>
    </row>
    <row r="149" spans="1:11" x14ac:dyDescent="0.25">
      <c r="A149">
        <v>1702464</v>
      </c>
      <c r="B149">
        <v>245</v>
      </c>
      <c r="C149" t="s">
        <v>32</v>
      </c>
      <c r="D149" s="1">
        <v>42455.870833333334</v>
      </c>
      <c r="E149" t="s">
        <v>145</v>
      </c>
      <c r="F149" t="s">
        <v>146</v>
      </c>
      <c r="G149">
        <v>-122.34466</v>
      </c>
      <c r="H149">
        <v>47.701794</v>
      </c>
      <c r="I149" t="s">
        <v>256</v>
      </c>
      <c r="J149">
        <f t="shared" si="2"/>
        <v>1</v>
      </c>
      <c r="K149">
        <v>2</v>
      </c>
    </row>
    <row r="150" spans="1:11" x14ac:dyDescent="0.25">
      <c r="A150">
        <v>1702465</v>
      </c>
      <c r="B150">
        <v>64</v>
      </c>
      <c r="C150" t="s">
        <v>158</v>
      </c>
      <c r="D150" s="1">
        <v>42455.870833333334</v>
      </c>
      <c r="E150" t="s">
        <v>67</v>
      </c>
      <c r="F150" t="s">
        <v>193</v>
      </c>
      <c r="G150">
        <v>-122.334816</v>
      </c>
      <c r="H150">
        <v>47.612369999999999</v>
      </c>
      <c r="I150" t="s">
        <v>257</v>
      </c>
      <c r="J150">
        <f t="shared" si="2"/>
        <v>2</v>
      </c>
      <c r="K150">
        <v>1</v>
      </c>
    </row>
    <row r="151" spans="1:11" x14ac:dyDescent="0.25">
      <c r="A151">
        <v>1702466</v>
      </c>
      <c r="B151">
        <v>245</v>
      </c>
      <c r="C151" t="s">
        <v>32</v>
      </c>
      <c r="D151" s="1">
        <v>42455.868055555555</v>
      </c>
      <c r="E151" t="s">
        <v>67</v>
      </c>
      <c r="F151" t="s">
        <v>100</v>
      </c>
      <c r="G151">
        <v>-122.34134</v>
      </c>
      <c r="H151">
        <v>47.606903000000003</v>
      </c>
      <c r="I151" t="s">
        <v>258</v>
      </c>
      <c r="J151">
        <f t="shared" si="2"/>
        <v>1</v>
      </c>
      <c r="K151">
        <v>1</v>
      </c>
    </row>
    <row r="152" spans="1:11" x14ac:dyDescent="0.25">
      <c r="A152">
        <v>1702467</v>
      </c>
      <c r="B152">
        <v>250</v>
      </c>
      <c r="C152" t="s">
        <v>59</v>
      </c>
      <c r="D152" s="1">
        <v>42455.868055555555</v>
      </c>
      <c r="E152" t="s">
        <v>71</v>
      </c>
      <c r="F152" t="s">
        <v>110</v>
      </c>
      <c r="G152">
        <v>-122.33669</v>
      </c>
      <c r="H152">
        <v>47.603515999999999</v>
      </c>
      <c r="I152" t="s">
        <v>259</v>
      </c>
      <c r="J152">
        <f t="shared" si="2"/>
        <v>1</v>
      </c>
      <c r="K152">
        <v>2</v>
      </c>
    </row>
    <row r="153" spans="1:11" x14ac:dyDescent="0.25">
      <c r="A153">
        <v>1702468</v>
      </c>
      <c r="B153">
        <v>250</v>
      </c>
      <c r="C153" t="s">
        <v>59</v>
      </c>
      <c r="D153" s="1">
        <v>42455.868055555555</v>
      </c>
      <c r="E153" t="s">
        <v>43</v>
      </c>
      <c r="F153" t="s">
        <v>102</v>
      </c>
      <c r="G153">
        <v>-122.3364</v>
      </c>
      <c r="H153">
        <v>47.602657000000001</v>
      </c>
      <c r="I153" t="s">
        <v>260</v>
      </c>
      <c r="J153">
        <f t="shared" si="2"/>
        <v>2</v>
      </c>
      <c r="K153">
        <v>1</v>
      </c>
    </row>
    <row r="154" spans="1:11" x14ac:dyDescent="0.25">
      <c r="A154">
        <v>1702469</v>
      </c>
      <c r="B154">
        <v>177</v>
      </c>
      <c r="C154" t="s">
        <v>61</v>
      </c>
      <c r="D154" s="1">
        <v>42455.885416666664</v>
      </c>
      <c r="E154" t="s">
        <v>67</v>
      </c>
      <c r="F154" t="s">
        <v>100</v>
      </c>
      <c r="G154">
        <v>-122.34287999999999</v>
      </c>
      <c r="H154">
        <v>47.609814</v>
      </c>
      <c r="I154" t="s">
        <v>236</v>
      </c>
      <c r="J154">
        <f t="shared" si="2"/>
        <v>10</v>
      </c>
      <c r="K154">
        <v>0</v>
      </c>
    </row>
    <row r="155" spans="1:11" x14ac:dyDescent="0.25">
      <c r="A155">
        <v>1702470</v>
      </c>
      <c r="B155">
        <v>220</v>
      </c>
      <c r="C155" t="s">
        <v>173</v>
      </c>
      <c r="D155" s="1">
        <v>42455.875</v>
      </c>
      <c r="E155" t="s">
        <v>78</v>
      </c>
      <c r="F155" t="s">
        <v>79</v>
      </c>
      <c r="G155">
        <v>-122.376335</v>
      </c>
      <c r="H155">
        <v>47.662205</v>
      </c>
      <c r="I155" t="s">
        <v>261</v>
      </c>
      <c r="J155">
        <f t="shared" si="2"/>
        <v>3</v>
      </c>
      <c r="K155">
        <v>4</v>
      </c>
    </row>
    <row r="156" spans="1:11" x14ac:dyDescent="0.25">
      <c r="A156">
        <v>1702471</v>
      </c>
      <c r="B156">
        <v>470</v>
      </c>
      <c r="C156" t="s">
        <v>14</v>
      </c>
      <c r="D156" s="1">
        <v>42455.876388888886</v>
      </c>
      <c r="E156" t="s">
        <v>23</v>
      </c>
      <c r="F156" t="s">
        <v>189</v>
      </c>
      <c r="G156">
        <v>-122.356285</v>
      </c>
      <c r="H156">
        <v>47.634743</v>
      </c>
      <c r="I156" t="s">
        <v>262</v>
      </c>
      <c r="J156">
        <f t="shared" si="2"/>
        <v>1</v>
      </c>
      <c r="K156">
        <v>4</v>
      </c>
    </row>
    <row r="157" spans="1:11" x14ac:dyDescent="0.25">
      <c r="A157">
        <v>1702472</v>
      </c>
      <c r="B157">
        <v>64</v>
      </c>
      <c r="C157" t="s">
        <v>158</v>
      </c>
      <c r="D157" s="1">
        <v>42455.876388888886</v>
      </c>
      <c r="E157" t="s">
        <v>43</v>
      </c>
      <c r="F157" t="s">
        <v>44</v>
      </c>
      <c r="G157">
        <v>-122.327034</v>
      </c>
      <c r="H157">
        <v>47.595837000000003</v>
      </c>
      <c r="I157" t="s">
        <v>263</v>
      </c>
      <c r="J157">
        <f t="shared" si="2"/>
        <v>1</v>
      </c>
      <c r="K157">
        <v>3</v>
      </c>
    </row>
    <row r="158" spans="1:11" x14ac:dyDescent="0.25">
      <c r="A158">
        <v>1702473</v>
      </c>
      <c r="B158">
        <v>220</v>
      </c>
      <c r="C158" t="s">
        <v>173</v>
      </c>
      <c r="D158" s="1">
        <v>42455.879166666666</v>
      </c>
      <c r="E158" t="s">
        <v>52</v>
      </c>
      <c r="F158" t="s">
        <v>120</v>
      </c>
      <c r="G158">
        <v>-122.35535</v>
      </c>
      <c r="H158">
        <v>47.695120000000003</v>
      </c>
      <c r="I158" t="s">
        <v>264</v>
      </c>
      <c r="J158">
        <f t="shared" si="2"/>
        <v>1</v>
      </c>
      <c r="K158">
        <v>3</v>
      </c>
    </row>
    <row r="159" spans="1:11" x14ac:dyDescent="0.25">
      <c r="A159">
        <v>1702474</v>
      </c>
      <c r="B159">
        <v>470</v>
      </c>
      <c r="C159" t="s">
        <v>14</v>
      </c>
      <c r="D159" s="1">
        <v>42455.884027777778</v>
      </c>
      <c r="E159" t="s">
        <v>52</v>
      </c>
      <c r="F159" t="s">
        <v>53</v>
      </c>
      <c r="G159">
        <v>-122.32514999999999</v>
      </c>
      <c r="H159">
        <v>47.681175000000003</v>
      </c>
      <c r="I159" t="s">
        <v>265</v>
      </c>
      <c r="J159">
        <f t="shared" si="2"/>
        <v>1</v>
      </c>
      <c r="K159">
        <v>3</v>
      </c>
    </row>
    <row r="160" spans="1:11" x14ac:dyDescent="0.25">
      <c r="A160">
        <v>1702475</v>
      </c>
      <c r="B160">
        <v>450</v>
      </c>
      <c r="C160" t="s">
        <v>266</v>
      </c>
      <c r="D160" s="1">
        <v>42455.888888888891</v>
      </c>
      <c r="E160" t="s">
        <v>71</v>
      </c>
      <c r="F160" t="s">
        <v>72</v>
      </c>
      <c r="G160">
        <v>-122.26053</v>
      </c>
      <c r="H160">
        <v>47.551093999999999</v>
      </c>
      <c r="I160" t="s">
        <v>267</v>
      </c>
      <c r="J160">
        <f t="shared" si="2"/>
        <v>1</v>
      </c>
      <c r="K160">
        <v>1</v>
      </c>
    </row>
    <row r="161" spans="1:11" x14ac:dyDescent="0.25">
      <c r="A161">
        <v>1702476</v>
      </c>
      <c r="B161">
        <v>63</v>
      </c>
      <c r="C161" t="s">
        <v>87</v>
      </c>
      <c r="D161" s="1">
        <v>42455.887499999997</v>
      </c>
      <c r="E161" t="s">
        <v>47</v>
      </c>
      <c r="F161" t="s">
        <v>177</v>
      </c>
      <c r="G161">
        <v>-122.32135</v>
      </c>
      <c r="H161">
        <v>47.611904000000003</v>
      </c>
      <c r="I161" t="s">
        <v>268</v>
      </c>
      <c r="J161">
        <f t="shared" si="2"/>
        <v>1</v>
      </c>
      <c r="K161">
        <v>2</v>
      </c>
    </row>
    <row r="162" spans="1:11" x14ac:dyDescent="0.25">
      <c r="A162">
        <v>1702477</v>
      </c>
      <c r="B162">
        <v>450</v>
      </c>
      <c r="C162" t="s">
        <v>266</v>
      </c>
      <c r="D162" s="1">
        <v>42455.890277777777</v>
      </c>
      <c r="E162" t="s">
        <v>29</v>
      </c>
      <c r="F162" t="s">
        <v>156</v>
      </c>
      <c r="G162">
        <v>-122.28564</v>
      </c>
      <c r="H162">
        <v>47.546055000000003</v>
      </c>
      <c r="I162" t="s">
        <v>269</v>
      </c>
      <c r="J162">
        <f t="shared" si="2"/>
        <v>2</v>
      </c>
      <c r="K162">
        <v>1</v>
      </c>
    </row>
    <row r="163" spans="1:11" x14ac:dyDescent="0.25">
      <c r="A163">
        <v>1702478</v>
      </c>
      <c r="B163">
        <v>460</v>
      </c>
      <c r="C163" t="s">
        <v>18</v>
      </c>
      <c r="D163" s="1">
        <v>42455.893055555556</v>
      </c>
      <c r="E163" t="s">
        <v>11</v>
      </c>
      <c r="F163" t="s">
        <v>245</v>
      </c>
      <c r="G163">
        <v>-122.30466</v>
      </c>
      <c r="H163">
        <v>47.559604999999998</v>
      </c>
      <c r="I163" t="s">
        <v>270</v>
      </c>
      <c r="J163">
        <f t="shared" si="2"/>
        <v>1</v>
      </c>
      <c r="K163">
        <v>2</v>
      </c>
    </row>
    <row r="164" spans="1:11" x14ac:dyDescent="0.25">
      <c r="A164">
        <v>1702479</v>
      </c>
      <c r="B164">
        <v>450</v>
      </c>
      <c r="C164" t="s">
        <v>266</v>
      </c>
      <c r="D164" s="1">
        <v>42455.88958333333</v>
      </c>
      <c r="E164" t="s">
        <v>64</v>
      </c>
      <c r="F164" t="s">
        <v>65</v>
      </c>
      <c r="G164">
        <v>-122.38146</v>
      </c>
      <c r="H164">
        <v>47.561104</v>
      </c>
      <c r="I164" t="s">
        <v>271</v>
      </c>
      <c r="J164">
        <f t="shared" si="2"/>
        <v>1</v>
      </c>
      <c r="K164">
        <v>2</v>
      </c>
    </row>
    <row r="165" spans="1:11" x14ac:dyDescent="0.25">
      <c r="A165">
        <v>1702480</v>
      </c>
      <c r="B165">
        <v>280</v>
      </c>
      <c r="C165" t="s">
        <v>22</v>
      </c>
      <c r="D165" s="1">
        <v>42455.893750000003</v>
      </c>
      <c r="E165" t="s">
        <v>130</v>
      </c>
      <c r="F165" t="s">
        <v>272</v>
      </c>
      <c r="G165">
        <v>-122.29312</v>
      </c>
      <c r="H165">
        <v>47.733756999999997</v>
      </c>
      <c r="I165" t="s">
        <v>273</v>
      </c>
      <c r="J165">
        <f t="shared" si="2"/>
        <v>2</v>
      </c>
      <c r="K165">
        <v>0</v>
      </c>
    </row>
    <row r="166" spans="1:11" x14ac:dyDescent="0.25">
      <c r="A166">
        <v>1702481</v>
      </c>
      <c r="B166">
        <v>460</v>
      </c>
      <c r="C166" t="s">
        <v>18</v>
      </c>
      <c r="D166" s="1">
        <v>42455.890972222223</v>
      </c>
      <c r="E166" t="s">
        <v>71</v>
      </c>
      <c r="F166" t="s">
        <v>110</v>
      </c>
      <c r="G166">
        <v>-122.33426</v>
      </c>
      <c r="H166">
        <v>47.6126</v>
      </c>
      <c r="I166" t="s">
        <v>274</v>
      </c>
      <c r="J166">
        <f t="shared" si="2"/>
        <v>1</v>
      </c>
      <c r="K166">
        <v>1</v>
      </c>
    </row>
    <row r="167" spans="1:11" x14ac:dyDescent="0.25">
      <c r="A167">
        <v>1702482</v>
      </c>
      <c r="B167">
        <v>280</v>
      </c>
      <c r="C167" t="s">
        <v>22</v>
      </c>
      <c r="D167" s="1">
        <v>42455.895833333336</v>
      </c>
      <c r="E167" t="s">
        <v>81</v>
      </c>
      <c r="F167" t="s">
        <v>82</v>
      </c>
      <c r="G167">
        <v>-122.34574000000001</v>
      </c>
      <c r="H167">
        <v>47.617023000000003</v>
      </c>
      <c r="I167" t="s">
        <v>275</v>
      </c>
      <c r="J167">
        <f t="shared" si="2"/>
        <v>1</v>
      </c>
      <c r="K167">
        <v>2</v>
      </c>
    </row>
    <row r="168" spans="1:11" x14ac:dyDescent="0.25">
      <c r="A168">
        <v>1702483</v>
      </c>
      <c r="B168">
        <v>460</v>
      </c>
      <c r="C168" t="s">
        <v>18</v>
      </c>
      <c r="D168" s="1">
        <v>42455.902083333334</v>
      </c>
      <c r="E168" t="s">
        <v>67</v>
      </c>
      <c r="F168" t="s">
        <v>68</v>
      </c>
      <c r="G168">
        <v>-122.33335</v>
      </c>
      <c r="H168">
        <v>47.611606999999999</v>
      </c>
      <c r="I168" t="s">
        <v>276</v>
      </c>
      <c r="J168">
        <f t="shared" si="2"/>
        <v>1</v>
      </c>
      <c r="K168">
        <v>2</v>
      </c>
    </row>
    <row r="169" spans="1:11" x14ac:dyDescent="0.25">
      <c r="A169">
        <v>1702484</v>
      </c>
      <c r="B169">
        <v>460</v>
      </c>
      <c r="C169" t="s">
        <v>18</v>
      </c>
      <c r="D169" s="1">
        <v>42455.900694444441</v>
      </c>
      <c r="E169" t="s">
        <v>47</v>
      </c>
      <c r="F169" t="s">
        <v>177</v>
      </c>
      <c r="G169">
        <v>-122.32763</v>
      </c>
      <c r="H169">
        <v>47.605339999999998</v>
      </c>
      <c r="I169" t="s">
        <v>277</v>
      </c>
      <c r="J169">
        <f t="shared" si="2"/>
        <v>1</v>
      </c>
      <c r="K169">
        <v>1</v>
      </c>
    </row>
    <row r="170" spans="1:11" x14ac:dyDescent="0.25">
      <c r="A170">
        <v>1702485</v>
      </c>
      <c r="B170">
        <v>430</v>
      </c>
      <c r="C170" t="s">
        <v>70</v>
      </c>
      <c r="D170" s="1">
        <v>42455.906944444447</v>
      </c>
      <c r="E170" t="s">
        <v>67</v>
      </c>
      <c r="F170" t="s">
        <v>68</v>
      </c>
      <c r="G170">
        <v>-122.33897</v>
      </c>
      <c r="H170">
        <v>47.614776999999997</v>
      </c>
      <c r="I170" t="s">
        <v>278</v>
      </c>
      <c r="J170">
        <f t="shared" si="2"/>
        <v>1</v>
      </c>
      <c r="K170">
        <v>0</v>
      </c>
    </row>
    <row r="171" spans="1:11" x14ac:dyDescent="0.25">
      <c r="A171">
        <v>1702486</v>
      </c>
      <c r="B171">
        <v>470</v>
      </c>
      <c r="C171" t="s">
        <v>14</v>
      </c>
      <c r="D171" s="1">
        <v>42455.899305555555</v>
      </c>
      <c r="E171" t="s">
        <v>104</v>
      </c>
      <c r="F171" t="s">
        <v>184</v>
      </c>
      <c r="G171">
        <v>-122.3609</v>
      </c>
      <c r="H171">
        <v>47.560250000000003</v>
      </c>
      <c r="I171" t="s">
        <v>279</v>
      </c>
      <c r="J171">
        <f t="shared" si="2"/>
        <v>1</v>
      </c>
      <c r="K171">
        <v>3</v>
      </c>
    </row>
    <row r="172" spans="1:11" x14ac:dyDescent="0.25">
      <c r="A172">
        <v>1702487</v>
      </c>
      <c r="B172">
        <v>245</v>
      </c>
      <c r="C172" t="s">
        <v>32</v>
      </c>
      <c r="D172" s="1">
        <v>42455.899305555555</v>
      </c>
      <c r="E172" t="s">
        <v>40</v>
      </c>
      <c r="F172" t="s">
        <v>151</v>
      </c>
      <c r="G172">
        <v>-122.31148</v>
      </c>
      <c r="H172">
        <v>47.612225000000002</v>
      </c>
      <c r="I172" t="s">
        <v>152</v>
      </c>
      <c r="J172">
        <f t="shared" si="2"/>
        <v>2</v>
      </c>
      <c r="K172">
        <v>3</v>
      </c>
    </row>
    <row r="173" spans="1:11" x14ac:dyDescent="0.25">
      <c r="A173">
        <v>1702488</v>
      </c>
      <c r="B173">
        <v>200</v>
      </c>
      <c r="C173" t="s">
        <v>187</v>
      </c>
      <c r="D173" s="1">
        <v>42455.913194444445</v>
      </c>
      <c r="E173" t="s">
        <v>11</v>
      </c>
      <c r="F173" t="s">
        <v>33</v>
      </c>
      <c r="G173">
        <v>-122.29197000000001</v>
      </c>
      <c r="H173">
        <v>47.570390000000003</v>
      </c>
      <c r="I173" t="s">
        <v>280</v>
      </c>
      <c r="J173">
        <f t="shared" si="2"/>
        <v>1</v>
      </c>
      <c r="K173">
        <v>4</v>
      </c>
    </row>
    <row r="174" spans="1:11" x14ac:dyDescent="0.25">
      <c r="A174">
        <v>1702489</v>
      </c>
      <c r="B174">
        <v>280</v>
      </c>
      <c r="C174" t="s">
        <v>22</v>
      </c>
      <c r="D174" s="1">
        <v>42455.90347222222</v>
      </c>
      <c r="E174" t="s">
        <v>47</v>
      </c>
      <c r="F174" t="s">
        <v>177</v>
      </c>
      <c r="G174">
        <v>-122.32546000000001</v>
      </c>
      <c r="H174">
        <v>47.609695000000002</v>
      </c>
      <c r="I174" t="s">
        <v>281</v>
      </c>
      <c r="J174">
        <f t="shared" si="2"/>
        <v>1</v>
      </c>
      <c r="K174">
        <v>0</v>
      </c>
    </row>
    <row r="175" spans="1:11" x14ac:dyDescent="0.25">
      <c r="A175">
        <v>1702490</v>
      </c>
      <c r="B175">
        <v>63</v>
      </c>
      <c r="C175" t="s">
        <v>87</v>
      </c>
      <c r="D175" s="1">
        <v>42455.902777777781</v>
      </c>
      <c r="E175" t="s">
        <v>71</v>
      </c>
      <c r="F175" t="s">
        <v>110</v>
      </c>
      <c r="G175">
        <v>-122.355385</v>
      </c>
      <c r="H175">
        <v>47.626779999999997</v>
      </c>
      <c r="I175" t="s">
        <v>282</v>
      </c>
      <c r="J175">
        <f t="shared" si="2"/>
        <v>1</v>
      </c>
      <c r="K175">
        <v>3</v>
      </c>
    </row>
    <row r="176" spans="1:11" x14ac:dyDescent="0.25">
      <c r="A176">
        <v>1702491</v>
      </c>
      <c r="B176">
        <v>65</v>
      </c>
      <c r="C176" t="s">
        <v>39</v>
      </c>
      <c r="D176" s="1">
        <v>42455.902777777781</v>
      </c>
      <c r="E176" t="s">
        <v>81</v>
      </c>
      <c r="F176" t="s">
        <v>154</v>
      </c>
      <c r="G176">
        <v>-122.33035</v>
      </c>
      <c r="H176">
        <v>47.617890000000003</v>
      </c>
      <c r="I176" t="s">
        <v>283</v>
      </c>
      <c r="J176">
        <f t="shared" si="2"/>
        <v>1</v>
      </c>
      <c r="K176">
        <v>1</v>
      </c>
    </row>
    <row r="177" spans="1:11" x14ac:dyDescent="0.25">
      <c r="A177">
        <v>1702492</v>
      </c>
      <c r="B177">
        <v>177</v>
      </c>
      <c r="C177" t="s">
        <v>61</v>
      </c>
      <c r="D177" s="1">
        <v>42455.92291666667</v>
      </c>
      <c r="E177" t="s">
        <v>11</v>
      </c>
      <c r="F177" t="s">
        <v>245</v>
      </c>
      <c r="G177">
        <v>-122.313805</v>
      </c>
      <c r="H177">
        <v>47.581012999999999</v>
      </c>
      <c r="I177" t="s">
        <v>284</v>
      </c>
      <c r="J177">
        <f t="shared" si="2"/>
        <v>3</v>
      </c>
      <c r="K177">
        <v>2</v>
      </c>
    </row>
    <row r="178" spans="1:11" x14ac:dyDescent="0.25">
      <c r="A178">
        <v>1702493</v>
      </c>
      <c r="B178">
        <v>246</v>
      </c>
      <c r="C178" t="s">
        <v>285</v>
      </c>
      <c r="D178" s="1">
        <v>42455.923611111109</v>
      </c>
      <c r="E178" t="s">
        <v>104</v>
      </c>
      <c r="F178" t="s">
        <v>105</v>
      </c>
      <c r="G178">
        <v>-122.348015</v>
      </c>
      <c r="H178">
        <v>47.524650000000001</v>
      </c>
      <c r="I178" t="s">
        <v>287</v>
      </c>
      <c r="J178">
        <f t="shared" si="2"/>
        <v>1</v>
      </c>
      <c r="K178">
        <v>1</v>
      </c>
    </row>
    <row r="179" spans="1:11" x14ac:dyDescent="0.25">
      <c r="A179">
        <v>1702494</v>
      </c>
      <c r="B179">
        <v>245</v>
      </c>
      <c r="C179" t="s">
        <v>32</v>
      </c>
      <c r="D179" s="1">
        <v>42455.915972222225</v>
      </c>
      <c r="E179" t="s">
        <v>81</v>
      </c>
      <c r="F179" t="s">
        <v>82</v>
      </c>
      <c r="G179">
        <v>-122.33975</v>
      </c>
      <c r="H179">
        <v>47.623215000000002</v>
      </c>
      <c r="I179" t="s">
        <v>288</v>
      </c>
      <c r="J179">
        <f t="shared" si="2"/>
        <v>1</v>
      </c>
      <c r="K179">
        <v>1</v>
      </c>
    </row>
    <row r="180" spans="1:11" x14ac:dyDescent="0.25">
      <c r="A180">
        <v>1702495</v>
      </c>
      <c r="B180">
        <v>450</v>
      </c>
      <c r="C180" t="s">
        <v>266</v>
      </c>
      <c r="D180" s="1">
        <v>42455.911111111112</v>
      </c>
      <c r="E180" t="s">
        <v>95</v>
      </c>
      <c r="F180" t="s">
        <v>96</v>
      </c>
      <c r="G180">
        <v>-122.304596</v>
      </c>
      <c r="H180">
        <v>47.647483999999999</v>
      </c>
      <c r="I180" t="s">
        <v>289</v>
      </c>
      <c r="J180">
        <f t="shared" si="2"/>
        <v>1</v>
      </c>
      <c r="K180">
        <v>1</v>
      </c>
    </row>
    <row r="181" spans="1:11" x14ac:dyDescent="0.25">
      <c r="A181">
        <v>1702496</v>
      </c>
      <c r="B181">
        <v>245</v>
      </c>
      <c r="C181" t="s">
        <v>32</v>
      </c>
      <c r="D181" s="1">
        <v>42455.913888888892</v>
      </c>
      <c r="E181" t="s">
        <v>43</v>
      </c>
      <c r="F181" t="s">
        <v>44</v>
      </c>
      <c r="G181">
        <v>-122.33081</v>
      </c>
      <c r="H181">
        <v>47.600464000000002</v>
      </c>
      <c r="I181" t="s">
        <v>45</v>
      </c>
      <c r="J181">
        <f t="shared" si="2"/>
        <v>17</v>
      </c>
      <c r="K181">
        <v>4</v>
      </c>
    </row>
    <row r="182" spans="1:11" x14ac:dyDescent="0.25">
      <c r="A182">
        <v>1702497</v>
      </c>
      <c r="B182">
        <v>280</v>
      </c>
      <c r="C182" t="s">
        <v>22</v>
      </c>
      <c r="D182" s="1">
        <v>42455.913888888892</v>
      </c>
      <c r="E182" t="s">
        <v>130</v>
      </c>
      <c r="F182" t="s">
        <v>290</v>
      </c>
      <c r="G182">
        <v>-122.31782</v>
      </c>
      <c r="H182">
        <v>47.706283999999997</v>
      </c>
      <c r="I182" t="s">
        <v>291</v>
      </c>
      <c r="J182">
        <f t="shared" si="2"/>
        <v>1</v>
      </c>
      <c r="K182">
        <v>2</v>
      </c>
    </row>
    <row r="183" spans="1:11" x14ac:dyDescent="0.25">
      <c r="A183">
        <v>1702498</v>
      </c>
      <c r="B183">
        <v>460</v>
      </c>
      <c r="C183" t="s">
        <v>18</v>
      </c>
      <c r="D183" s="1">
        <v>42455.939583333333</v>
      </c>
      <c r="E183" t="s">
        <v>67</v>
      </c>
      <c r="F183" t="s">
        <v>68</v>
      </c>
      <c r="G183">
        <v>-122.33280000000001</v>
      </c>
      <c r="H183">
        <v>47.611840000000001</v>
      </c>
      <c r="I183" t="s">
        <v>292</v>
      </c>
      <c r="J183">
        <f t="shared" si="2"/>
        <v>1</v>
      </c>
      <c r="K183">
        <v>3</v>
      </c>
    </row>
    <row r="184" spans="1:11" x14ac:dyDescent="0.25">
      <c r="A184">
        <v>1702499</v>
      </c>
      <c r="B184">
        <v>161</v>
      </c>
      <c r="C184" t="s">
        <v>35</v>
      </c>
      <c r="D184" s="1">
        <v>42455.945833333331</v>
      </c>
      <c r="E184" t="s">
        <v>81</v>
      </c>
      <c r="F184" t="s">
        <v>154</v>
      </c>
      <c r="G184">
        <v>-122.33506</v>
      </c>
      <c r="H184">
        <v>47.619680000000002</v>
      </c>
      <c r="I184" t="s">
        <v>293</v>
      </c>
      <c r="J184">
        <f t="shared" si="2"/>
        <v>2</v>
      </c>
      <c r="K184">
        <v>0</v>
      </c>
    </row>
    <row r="185" spans="1:11" x14ac:dyDescent="0.25">
      <c r="A185">
        <v>1702500</v>
      </c>
      <c r="B185">
        <v>460</v>
      </c>
      <c r="C185" t="s">
        <v>18</v>
      </c>
      <c r="D185" s="1">
        <v>42455.93472222222</v>
      </c>
      <c r="E185" t="s">
        <v>71</v>
      </c>
      <c r="F185" t="s">
        <v>126</v>
      </c>
      <c r="G185">
        <v>-122.35487000000001</v>
      </c>
      <c r="H185">
        <v>47.615031999999999</v>
      </c>
      <c r="I185" t="s">
        <v>294</v>
      </c>
      <c r="J185">
        <f t="shared" si="2"/>
        <v>1</v>
      </c>
      <c r="K185">
        <v>1</v>
      </c>
    </row>
    <row r="186" spans="1:11" x14ac:dyDescent="0.25">
      <c r="A186">
        <v>1702501</v>
      </c>
      <c r="B186">
        <v>245</v>
      </c>
      <c r="C186" t="s">
        <v>32</v>
      </c>
      <c r="D186" s="1">
        <v>42455.944444444445</v>
      </c>
      <c r="E186" t="s">
        <v>47</v>
      </c>
      <c r="F186" t="s">
        <v>90</v>
      </c>
      <c r="G186">
        <v>-122.31990999999999</v>
      </c>
      <c r="H186">
        <v>47.623123</v>
      </c>
      <c r="I186" t="s">
        <v>295</v>
      </c>
      <c r="J186">
        <f t="shared" si="2"/>
        <v>1</v>
      </c>
      <c r="K186">
        <v>1</v>
      </c>
    </row>
    <row r="187" spans="1:11" x14ac:dyDescent="0.25">
      <c r="A187">
        <v>1702502</v>
      </c>
      <c r="B187">
        <v>177</v>
      </c>
      <c r="C187" t="s">
        <v>61</v>
      </c>
      <c r="D187" s="1">
        <v>42455.927083333336</v>
      </c>
      <c r="E187" t="s">
        <v>11</v>
      </c>
      <c r="F187" t="s">
        <v>245</v>
      </c>
      <c r="G187">
        <v>-122.31469</v>
      </c>
      <c r="H187">
        <v>47.584119999999999</v>
      </c>
      <c r="I187" t="s">
        <v>296</v>
      </c>
      <c r="J187">
        <f t="shared" si="2"/>
        <v>1</v>
      </c>
      <c r="K187">
        <v>3</v>
      </c>
    </row>
    <row r="188" spans="1:11" x14ac:dyDescent="0.25">
      <c r="A188">
        <v>1702503</v>
      </c>
      <c r="B188">
        <v>177</v>
      </c>
      <c r="C188" t="s">
        <v>61</v>
      </c>
      <c r="D188" s="1">
        <v>42455.927777777775</v>
      </c>
      <c r="E188" t="s">
        <v>71</v>
      </c>
      <c r="F188" t="s">
        <v>126</v>
      </c>
      <c r="G188">
        <v>-122.33081</v>
      </c>
      <c r="H188">
        <v>47.600464000000002</v>
      </c>
      <c r="I188" t="s">
        <v>45</v>
      </c>
      <c r="J188">
        <f t="shared" si="2"/>
        <v>17</v>
      </c>
      <c r="K188">
        <v>3</v>
      </c>
    </row>
    <row r="189" spans="1:11" x14ac:dyDescent="0.25">
      <c r="A189">
        <v>1702504</v>
      </c>
      <c r="B189">
        <v>245</v>
      </c>
      <c r="C189" t="s">
        <v>32</v>
      </c>
      <c r="D189" s="1">
        <v>42455.931250000001</v>
      </c>
      <c r="E189" t="s">
        <v>15</v>
      </c>
      <c r="F189" t="s">
        <v>16</v>
      </c>
      <c r="G189">
        <v>-122.306335</v>
      </c>
      <c r="H189">
        <v>47.606166999999999</v>
      </c>
      <c r="I189" t="s">
        <v>297</v>
      </c>
      <c r="J189">
        <f t="shared" si="2"/>
        <v>1</v>
      </c>
      <c r="K189">
        <v>0</v>
      </c>
    </row>
    <row r="190" spans="1:11" x14ac:dyDescent="0.25">
      <c r="A190">
        <v>1702505</v>
      </c>
      <c r="B190">
        <v>280</v>
      </c>
      <c r="C190" t="s">
        <v>22</v>
      </c>
      <c r="D190" s="1">
        <v>42455.927777777775</v>
      </c>
      <c r="E190" t="s">
        <v>71</v>
      </c>
      <c r="F190" t="s">
        <v>126</v>
      </c>
      <c r="G190">
        <v>-122.38658</v>
      </c>
      <c r="H190">
        <v>47.580253999999996</v>
      </c>
      <c r="I190" t="s">
        <v>298</v>
      </c>
      <c r="J190">
        <f t="shared" si="2"/>
        <v>1</v>
      </c>
      <c r="K190">
        <v>1</v>
      </c>
    </row>
    <row r="191" spans="1:11" x14ac:dyDescent="0.25">
      <c r="A191">
        <v>1702506</v>
      </c>
      <c r="B191">
        <v>161</v>
      </c>
      <c r="C191" t="s">
        <v>35</v>
      </c>
      <c r="D191" s="1">
        <v>42455.934027777781</v>
      </c>
      <c r="E191" t="s">
        <v>67</v>
      </c>
      <c r="F191" t="s">
        <v>100</v>
      </c>
      <c r="G191">
        <v>-122.3424</v>
      </c>
      <c r="H191">
        <v>47.612118000000002</v>
      </c>
      <c r="I191" t="s">
        <v>299</v>
      </c>
      <c r="J191">
        <f t="shared" si="2"/>
        <v>3</v>
      </c>
      <c r="K191">
        <v>3</v>
      </c>
    </row>
    <row r="192" spans="1:11" x14ac:dyDescent="0.25">
      <c r="A192">
        <v>1702507</v>
      </c>
      <c r="B192">
        <v>245</v>
      </c>
      <c r="C192" t="s">
        <v>32</v>
      </c>
      <c r="D192" s="1">
        <v>42455.932638888888</v>
      </c>
      <c r="E192" t="s">
        <v>130</v>
      </c>
      <c r="F192" t="s">
        <v>131</v>
      </c>
      <c r="G192">
        <v>-122.29284</v>
      </c>
      <c r="H192">
        <v>47.723796999999998</v>
      </c>
      <c r="I192" t="s">
        <v>300</v>
      </c>
      <c r="J192">
        <f t="shared" si="2"/>
        <v>1</v>
      </c>
      <c r="K192">
        <v>4</v>
      </c>
    </row>
    <row r="193" spans="1:11" x14ac:dyDescent="0.25">
      <c r="A193">
        <v>1702508</v>
      </c>
      <c r="B193">
        <v>280</v>
      </c>
      <c r="C193" t="s">
        <v>22</v>
      </c>
      <c r="D193" s="1">
        <v>42455.939583333333</v>
      </c>
      <c r="E193" t="s">
        <v>71</v>
      </c>
      <c r="F193" t="s">
        <v>72</v>
      </c>
      <c r="G193">
        <v>-122.35583</v>
      </c>
      <c r="H193">
        <v>47.518099999999997</v>
      </c>
      <c r="I193" t="s">
        <v>301</v>
      </c>
      <c r="J193">
        <f t="shared" si="2"/>
        <v>1</v>
      </c>
      <c r="K193">
        <v>1</v>
      </c>
    </row>
    <row r="194" spans="1:11" x14ac:dyDescent="0.25">
      <c r="A194">
        <v>1702509</v>
      </c>
      <c r="B194">
        <v>245</v>
      </c>
      <c r="C194" t="s">
        <v>32</v>
      </c>
      <c r="D194" s="1">
        <v>42455.925694444442</v>
      </c>
      <c r="E194" t="s">
        <v>43</v>
      </c>
      <c r="F194" t="s">
        <v>102</v>
      </c>
      <c r="G194">
        <v>-122.33428000000001</v>
      </c>
      <c r="H194">
        <v>47.602553999999998</v>
      </c>
      <c r="I194" t="s">
        <v>302</v>
      </c>
      <c r="J194">
        <f t="shared" ref="J194:J257" si="3">COUNTIF($I$2:$I$1046,I194)</f>
        <v>1</v>
      </c>
      <c r="K194">
        <v>2</v>
      </c>
    </row>
    <row r="195" spans="1:11" x14ac:dyDescent="0.25">
      <c r="A195">
        <v>1702510</v>
      </c>
      <c r="B195">
        <v>363</v>
      </c>
      <c r="C195" t="s">
        <v>63</v>
      </c>
      <c r="D195" s="1">
        <v>42455.953472222223</v>
      </c>
      <c r="E195" t="s">
        <v>130</v>
      </c>
      <c r="F195" t="s">
        <v>290</v>
      </c>
      <c r="G195">
        <v>-122.32777400000001</v>
      </c>
      <c r="H195">
        <v>47.696815000000001</v>
      </c>
      <c r="I195" t="s">
        <v>303</v>
      </c>
      <c r="J195">
        <f t="shared" si="3"/>
        <v>1</v>
      </c>
      <c r="K195">
        <v>2</v>
      </c>
    </row>
    <row r="196" spans="1:11" x14ac:dyDescent="0.25">
      <c r="A196">
        <v>1702511</v>
      </c>
      <c r="B196">
        <v>63</v>
      </c>
      <c r="C196" t="s">
        <v>87</v>
      </c>
      <c r="D196" s="1">
        <v>42455.930555555555</v>
      </c>
      <c r="E196" t="s">
        <v>78</v>
      </c>
      <c r="F196" t="s">
        <v>113</v>
      </c>
      <c r="G196">
        <v>-122.366035</v>
      </c>
      <c r="H196">
        <v>47.675624999999997</v>
      </c>
      <c r="I196" t="s">
        <v>123</v>
      </c>
      <c r="J196">
        <f t="shared" si="3"/>
        <v>2</v>
      </c>
      <c r="K196">
        <v>3</v>
      </c>
    </row>
    <row r="197" spans="1:11" x14ac:dyDescent="0.25">
      <c r="A197">
        <v>1702513</v>
      </c>
      <c r="B197">
        <v>280</v>
      </c>
      <c r="C197" t="s">
        <v>22</v>
      </c>
      <c r="D197" s="1">
        <v>42455.934027777781</v>
      </c>
      <c r="E197" t="s">
        <v>130</v>
      </c>
      <c r="F197" t="s">
        <v>131</v>
      </c>
      <c r="G197">
        <v>-122.2932</v>
      </c>
      <c r="H197">
        <v>47.722900000000003</v>
      </c>
      <c r="I197" t="s">
        <v>304</v>
      </c>
      <c r="J197">
        <f t="shared" si="3"/>
        <v>1</v>
      </c>
      <c r="K197">
        <v>0</v>
      </c>
    </row>
    <row r="198" spans="1:11" x14ac:dyDescent="0.25">
      <c r="A198">
        <v>1702514</v>
      </c>
      <c r="B198">
        <v>40</v>
      </c>
      <c r="C198" t="s">
        <v>119</v>
      </c>
      <c r="D198" s="1">
        <v>42455.929166666669</v>
      </c>
      <c r="E198" t="s">
        <v>145</v>
      </c>
      <c r="F198" t="s">
        <v>305</v>
      </c>
      <c r="G198">
        <v>-122.34499</v>
      </c>
      <c r="H198">
        <v>47.725037</v>
      </c>
      <c r="I198" t="s">
        <v>306</v>
      </c>
      <c r="J198">
        <f t="shared" si="3"/>
        <v>1</v>
      </c>
      <c r="K198">
        <v>2</v>
      </c>
    </row>
    <row r="199" spans="1:11" x14ac:dyDescent="0.25">
      <c r="A199">
        <v>1702515</v>
      </c>
      <c r="B199">
        <v>40</v>
      </c>
      <c r="C199" t="s">
        <v>119</v>
      </c>
      <c r="D199" s="1">
        <v>42455.923611111109</v>
      </c>
      <c r="E199" t="s">
        <v>130</v>
      </c>
      <c r="F199" t="s">
        <v>272</v>
      </c>
      <c r="G199">
        <v>-122.29312</v>
      </c>
      <c r="H199">
        <v>47.733756999999997</v>
      </c>
      <c r="I199" t="s">
        <v>273</v>
      </c>
      <c r="J199">
        <f t="shared" si="3"/>
        <v>2</v>
      </c>
      <c r="K199">
        <v>0</v>
      </c>
    </row>
    <row r="200" spans="1:11" x14ac:dyDescent="0.25">
      <c r="A200">
        <v>1702516</v>
      </c>
      <c r="B200">
        <v>430</v>
      </c>
      <c r="C200" t="s">
        <v>70</v>
      </c>
      <c r="D200" s="1">
        <v>42455.927777777775</v>
      </c>
      <c r="E200" t="s">
        <v>71</v>
      </c>
      <c r="F200" t="s">
        <v>110</v>
      </c>
      <c r="G200">
        <v>-122.31140000000001</v>
      </c>
      <c r="H200">
        <v>47.733936</v>
      </c>
      <c r="I200" t="s">
        <v>307</v>
      </c>
      <c r="J200">
        <f t="shared" si="3"/>
        <v>1</v>
      </c>
      <c r="K200">
        <v>2</v>
      </c>
    </row>
    <row r="201" spans="1:11" x14ac:dyDescent="0.25">
      <c r="A201">
        <v>1702517</v>
      </c>
      <c r="B201">
        <v>460</v>
      </c>
      <c r="C201" t="s">
        <v>18</v>
      </c>
      <c r="D201" s="1">
        <v>42455.956944444442</v>
      </c>
      <c r="E201" t="s">
        <v>47</v>
      </c>
      <c r="F201" t="s">
        <v>48</v>
      </c>
      <c r="G201">
        <v>-122.320404</v>
      </c>
      <c r="H201">
        <v>47.61524</v>
      </c>
      <c r="I201" t="s">
        <v>308</v>
      </c>
      <c r="J201">
        <f t="shared" si="3"/>
        <v>1</v>
      </c>
      <c r="K201">
        <v>1</v>
      </c>
    </row>
    <row r="202" spans="1:11" x14ac:dyDescent="0.25">
      <c r="A202">
        <v>1702518</v>
      </c>
      <c r="B202">
        <v>245</v>
      </c>
      <c r="C202" t="s">
        <v>32</v>
      </c>
      <c r="D202" s="1">
        <v>42455.954861111109</v>
      </c>
      <c r="E202" t="s">
        <v>43</v>
      </c>
      <c r="F202" t="s">
        <v>218</v>
      </c>
      <c r="G202">
        <v>-122.33288</v>
      </c>
      <c r="H202">
        <v>47.601300000000002</v>
      </c>
      <c r="I202" t="s">
        <v>309</v>
      </c>
      <c r="J202">
        <f t="shared" si="3"/>
        <v>1</v>
      </c>
      <c r="K202">
        <v>0</v>
      </c>
    </row>
    <row r="203" spans="1:11" x14ac:dyDescent="0.25">
      <c r="A203">
        <v>1702519</v>
      </c>
      <c r="B203">
        <v>460</v>
      </c>
      <c r="C203" t="s">
        <v>18</v>
      </c>
      <c r="D203" s="1">
        <v>42455.953472222223</v>
      </c>
      <c r="E203" t="s">
        <v>67</v>
      </c>
      <c r="F203" t="s">
        <v>193</v>
      </c>
      <c r="G203">
        <v>-122.33653</v>
      </c>
      <c r="H203">
        <v>47.607532999999997</v>
      </c>
      <c r="I203" t="s">
        <v>310</v>
      </c>
      <c r="J203">
        <f t="shared" si="3"/>
        <v>1</v>
      </c>
      <c r="K203">
        <v>0</v>
      </c>
    </row>
    <row r="204" spans="1:11" x14ac:dyDescent="0.25">
      <c r="A204">
        <v>1702520</v>
      </c>
      <c r="B204">
        <v>460</v>
      </c>
      <c r="C204" t="s">
        <v>18</v>
      </c>
      <c r="D204" s="1">
        <v>42455.950694444444</v>
      </c>
      <c r="E204" t="s">
        <v>43</v>
      </c>
      <c r="F204" t="s">
        <v>44</v>
      </c>
      <c r="G204">
        <v>-122.33034499999999</v>
      </c>
      <c r="H204">
        <v>47.599989999999998</v>
      </c>
      <c r="I204" t="s">
        <v>311</v>
      </c>
      <c r="J204">
        <f t="shared" si="3"/>
        <v>1</v>
      </c>
      <c r="K204">
        <v>4</v>
      </c>
    </row>
    <row r="205" spans="1:11" x14ac:dyDescent="0.25">
      <c r="A205">
        <v>1702521</v>
      </c>
      <c r="B205">
        <v>245</v>
      </c>
      <c r="C205" t="s">
        <v>32</v>
      </c>
      <c r="D205" s="1">
        <v>42455.953472222223</v>
      </c>
      <c r="E205" t="s">
        <v>78</v>
      </c>
      <c r="F205" t="s">
        <v>79</v>
      </c>
      <c r="G205">
        <v>-122.379616</v>
      </c>
      <c r="H205">
        <v>47.668669999999999</v>
      </c>
      <c r="I205" t="s">
        <v>312</v>
      </c>
      <c r="J205">
        <f t="shared" si="3"/>
        <v>1</v>
      </c>
      <c r="K205">
        <v>1</v>
      </c>
    </row>
    <row r="206" spans="1:11" x14ac:dyDescent="0.25">
      <c r="A206">
        <v>1702522</v>
      </c>
      <c r="B206">
        <v>244</v>
      </c>
      <c r="C206" t="s">
        <v>286</v>
      </c>
      <c r="D206" s="1">
        <v>42455.945833333331</v>
      </c>
      <c r="E206" t="s">
        <v>81</v>
      </c>
      <c r="F206" t="s">
        <v>135</v>
      </c>
      <c r="G206">
        <v>-122.34586</v>
      </c>
      <c r="H206">
        <v>47.612990000000003</v>
      </c>
      <c r="I206" t="s">
        <v>313</v>
      </c>
      <c r="J206">
        <f t="shared" si="3"/>
        <v>3</v>
      </c>
      <c r="K206">
        <v>0</v>
      </c>
    </row>
    <row r="207" spans="1:11" x14ac:dyDescent="0.25">
      <c r="A207">
        <v>1702523</v>
      </c>
      <c r="B207">
        <v>280</v>
      </c>
      <c r="C207" t="s">
        <v>22</v>
      </c>
      <c r="D207" s="1">
        <v>42455.956250000003</v>
      </c>
      <c r="E207" t="s">
        <v>145</v>
      </c>
      <c r="F207" t="s">
        <v>314</v>
      </c>
      <c r="G207">
        <v>-122.363625</v>
      </c>
      <c r="H207">
        <v>47.702624999999998</v>
      </c>
      <c r="I207" t="s">
        <v>315</v>
      </c>
      <c r="J207">
        <f t="shared" si="3"/>
        <v>1</v>
      </c>
      <c r="K207">
        <v>1</v>
      </c>
    </row>
    <row r="208" spans="1:11" x14ac:dyDescent="0.25">
      <c r="A208">
        <v>1702524</v>
      </c>
      <c r="B208">
        <v>161</v>
      </c>
      <c r="C208" t="s">
        <v>35</v>
      </c>
      <c r="D208" s="1">
        <v>42455.958333333336</v>
      </c>
      <c r="E208" t="s">
        <v>47</v>
      </c>
      <c r="F208" t="s">
        <v>48</v>
      </c>
      <c r="G208">
        <v>-122.32077</v>
      </c>
      <c r="H208">
        <v>47.613517999999999</v>
      </c>
      <c r="I208" t="s">
        <v>170</v>
      </c>
      <c r="J208">
        <f t="shared" si="3"/>
        <v>3</v>
      </c>
      <c r="K208">
        <v>2</v>
      </c>
    </row>
    <row r="209" spans="1:11" x14ac:dyDescent="0.25">
      <c r="A209">
        <v>1702525</v>
      </c>
      <c r="B209">
        <v>130</v>
      </c>
      <c r="C209" t="s">
        <v>248</v>
      </c>
      <c r="D209" s="1">
        <v>42455.957638888889</v>
      </c>
      <c r="E209" t="s">
        <v>23</v>
      </c>
      <c r="F209" t="s">
        <v>88</v>
      </c>
      <c r="G209">
        <v>-122.34756</v>
      </c>
      <c r="H209">
        <v>47.626719999999999</v>
      </c>
      <c r="I209" t="s">
        <v>317</v>
      </c>
      <c r="J209">
        <f t="shared" si="3"/>
        <v>1</v>
      </c>
      <c r="K209">
        <v>2</v>
      </c>
    </row>
    <row r="210" spans="1:11" x14ac:dyDescent="0.25">
      <c r="A210">
        <v>1702526</v>
      </c>
      <c r="B210">
        <v>245</v>
      </c>
      <c r="C210" t="s">
        <v>32</v>
      </c>
      <c r="D210" s="1">
        <v>42455.947222222225</v>
      </c>
      <c r="E210" t="s">
        <v>130</v>
      </c>
      <c r="F210" t="s">
        <v>290</v>
      </c>
      <c r="G210">
        <v>-122.321915</v>
      </c>
      <c r="H210">
        <v>47.708587999999999</v>
      </c>
      <c r="I210" t="s">
        <v>318</v>
      </c>
      <c r="J210">
        <f t="shared" si="3"/>
        <v>2</v>
      </c>
      <c r="K210">
        <v>2</v>
      </c>
    </row>
    <row r="211" spans="1:11" x14ac:dyDescent="0.25">
      <c r="A211">
        <v>1702527</v>
      </c>
      <c r="B211">
        <v>280</v>
      </c>
      <c r="C211" t="s">
        <v>22</v>
      </c>
      <c r="D211" s="1">
        <v>42455.956250000003</v>
      </c>
      <c r="E211" t="s">
        <v>130</v>
      </c>
      <c r="F211" t="s">
        <v>290</v>
      </c>
      <c r="G211">
        <v>-122.306335</v>
      </c>
      <c r="H211">
        <v>47.693027000000001</v>
      </c>
      <c r="I211" t="s">
        <v>319</v>
      </c>
      <c r="J211">
        <f t="shared" si="3"/>
        <v>1</v>
      </c>
      <c r="K211">
        <v>2</v>
      </c>
    </row>
    <row r="212" spans="1:11" x14ac:dyDescent="0.25">
      <c r="A212">
        <v>1702528</v>
      </c>
      <c r="B212">
        <v>184</v>
      </c>
      <c r="C212" t="s">
        <v>149</v>
      </c>
      <c r="D212" s="1">
        <v>42455.939583333333</v>
      </c>
      <c r="E212" t="s">
        <v>15</v>
      </c>
      <c r="F212" t="s">
        <v>92</v>
      </c>
      <c r="G212">
        <v>-122.31964000000001</v>
      </c>
      <c r="H212">
        <v>47.599181999999999</v>
      </c>
      <c r="I212" t="s">
        <v>320</v>
      </c>
      <c r="J212">
        <f t="shared" si="3"/>
        <v>2</v>
      </c>
      <c r="K212">
        <v>2</v>
      </c>
    </row>
    <row r="213" spans="1:11" x14ac:dyDescent="0.25">
      <c r="A213">
        <v>1702530</v>
      </c>
      <c r="B213">
        <v>430</v>
      </c>
      <c r="C213" t="s">
        <v>70</v>
      </c>
      <c r="D213" s="1">
        <v>42455.954861111109</v>
      </c>
      <c r="E213" t="s">
        <v>95</v>
      </c>
      <c r="F213" t="s">
        <v>96</v>
      </c>
      <c r="G213">
        <v>-122.2972</v>
      </c>
      <c r="H213">
        <v>47.683050000000001</v>
      </c>
      <c r="I213" t="s">
        <v>321</v>
      </c>
      <c r="J213">
        <f t="shared" si="3"/>
        <v>2</v>
      </c>
      <c r="K213">
        <v>2</v>
      </c>
    </row>
    <row r="214" spans="1:11" x14ac:dyDescent="0.25">
      <c r="A214">
        <v>1702531</v>
      </c>
      <c r="B214">
        <v>62</v>
      </c>
      <c r="C214" t="s">
        <v>322</v>
      </c>
      <c r="D214" s="1">
        <v>42455.940972222219</v>
      </c>
      <c r="E214" t="s">
        <v>78</v>
      </c>
      <c r="F214" t="s">
        <v>79</v>
      </c>
      <c r="G214">
        <v>-122.39698</v>
      </c>
      <c r="H214">
        <v>47.668633</v>
      </c>
      <c r="I214" t="s">
        <v>323</v>
      </c>
      <c r="J214">
        <f t="shared" si="3"/>
        <v>1</v>
      </c>
      <c r="K214">
        <v>3</v>
      </c>
    </row>
    <row r="215" spans="1:11" x14ac:dyDescent="0.25">
      <c r="A215">
        <v>1702532</v>
      </c>
      <c r="B215">
        <v>177</v>
      </c>
      <c r="C215" t="s">
        <v>61</v>
      </c>
      <c r="D215" s="1">
        <v>42455.966666666667</v>
      </c>
      <c r="E215" t="s">
        <v>19</v>
      </c>
      <c r="F215" t="s">
        <v>20</v>
      </c>
      <c r="G215">
        <v>-122.32905599999999</v>
      </c>
      <c r="H215">
        <v>47.579807000000002</v>
      </c>
      <c r="I215" t="s">
        <v>38</v>
      </c>
      <c r="J215">
        <f t="shared" si="3"/>
        <v>2</v>
      </c>
      <c r="K215">
        <v>3</v>
      </c>
    </row>
    <row r="216" spans="1:11" x14ac:dyDescent="0.25">
      <c r="A216">
        <v>1702533</v>
      </c>
      <c r="B216">
        <v>246</v>
      </c>
      <c r="C216" t="s">
        <v>285</v>
      </c>
      <c r="D216" s="1">
        <v>42455.969444444447</v>
      </c>
      <c r="E216" t="s">
        <v>71</v>
      </c>
      <c r="F216" t="s">
        <v>110</v>
      </c>
      <c r="G216">
        <v>-122.320076</v>
      </c>
      <c r="H216">
        <v>47.602690000000003</v>
      </c>
      <c r="I216" t="s">
        <v>324</v>
      </c>
      <c r="J216">
        <f t="shared" si="3"/>
        <v>1</v>
      </c>
      <c r="K216">
        <v>1</v>
      </c>
    </row>
    <row r="217" spans="1:11" x14ac:dyDescent="0.25">
      <c r="A217">
        <v>1702534</v>
      </c>
      <c r="B217">
        <v>280</v>
      </c>
      <c r="C217" t="s">
        <v>22</v>
      </c>
      <c r="D217" s="1">
        <v>42455.974305555559</v>
      </c>
      <c r="E217" t="s">
        <v>78</v>
      </c>
      <c r="F217" t="s">
        <v>113</v>
      </c>
      <c r="G217">
        <v>-122.36968</v>
      </c>
      <c r="H217">
        <v>47.668663000000002</v>
      </c>
      <c r="I217" t="s">
        <v>325</v>
      </c>
      <c r="J217">
        <f t="shared" si="3"/>
        <v>1</v>
      </c>
      <c r="K217">
        <v>0</v>
      </c>
    </row>
    <row r="218" spans="1:11" x14ac:dyDescent="0.25">
      <c r="A218">
        <v>1702535</v>
      </c>
      <c r="B218">
        <v>245</v>
      </c>
      <c r="C218" t="s">
        <v>32</v>
      </c>
      <c r="D218" s="1">
        <v>42455.96597222222</v>
      </c>
      <c r="E218" t="s">
        <v>23</v>
      </c>
      <c r="F218" t="s">
        <v>88</v>
      </c>
      <c r="G218">
        <v>-122.35475</v>
      </c>
      <c r="H218">
        <v>47.624577000000002</v>
      </c>
      <c r="I218" t="s">
        <v>326</v>
      </c>
      <c r="J218">
        <f t="shared" si="3"/>
        <v>2</v>
      </c>
      <c r="K218">
        <v>3</v>
      </c>
    </row>
    <row r="219" spans="1:11" x14ac:dyDescent="0.25">
      <c r="A219">
        <v>1702536</v>
      </c>
      <c r="B219">
        <v>130</v>
      </c>
      <c r="C219" t="s">
        <v>248</v>
      </c>
      <c r="D219" s="1">
        <v>42455.97152777778</v>
      </c>
      <c r="E219" t="s">
        <v>47</v>
      </c>
      <c r="F219" t="s">
        <v>48</v>
      </c>
      <c r="G219">
        <v>-122.31554</v>
      </c>
      <c r="H219">
        <v>47.614693000000003</v>
      </c>
      <c r="I219" t="s">
        <v>327</v>
      </c>
      <c r="J219">
        <f t="shared" si="3"/>
        <v>2</v>
      </c>
      <c r="K219">
        <v>2</v>
      </c>
    </row>
    <row r="220" spans="1:11" x14ac:dyDescent="0.25">
      <c r="A220">
        <v>1702537</v>
      </c>
      <c r="B220">
        <v>350</v>
      </c>
      <c r="C220" t="s">
        <v>76</v>
      </c>
      <c r="D220" s="1">
        <v>42455.960416666669</v>
      </c>
      <c r="E220" t="s">
        <v>67</v>
      </c>
      <c r="F220" t="s">
        <v>193</v>
      </c>
      <c r="G220">
        <v>-122.3387</v>
      </c>
      <c r="H220">
        <v>47.610743999999997</v>
      </c>
      <c r="I220" t="s">
        <v>328</v>
      </c>
      <c r="J220">
        <f t="shared" si="3"/>
        <v>4</v>
      </c>
      <c r="K220">
        <v>1</v>
      </c>
    </row>
    <row r="221" spans="1:11" x14ac:dyDescent="0.25">
      <c r="A221">
        <v>1702538</v>
      </c>
      <c r="B221">
        <v>63</v>
      </c>
      <c r="C221" t="s">
        <v>87</v>
      </c>
      <c r="D221" s="1">
        <v>42455.970833333333</v>
      </c>
      <c r="E221" t="s">
        <v>47</v>
      </c>
      <c r="F221" t="s">
        <v>48</v>
      </c>
      <c r="G221">
        <v>-122.31554</v>
      </c>
      <c r="H221">
        <v>47.614693000000003</v>
      </c>
      <c r="I221" t="s">
        <v>327</v>
      </c>
      <c r="J221">
        <f t="shared" si="3"/>
        <v>2</v>
      </c>
      <c r="K221">
        <v>1</v>
      </c>
    </row>
    <row r="222" spans="1:11" x14ac:dyDescent="0.25">
      <c r="A222">
        <v>1702539</v>
      </c>
      <c r="B222">
        <v>41</v>
      </c>
      <c r="C222" t="s">
        <v>134</v>
      </c>
      <c r="D222" s="1">
        <v>42455.959027777775</v>
      </c>
      <c r="E222" t="s">
        <v>71</v>
      </c>
      <c r="F222" t="s">
        <v>110</v>
      </c>
      <c r="G222">
        <v>-122.31312</v>
      </c>
      <c r="H222">
        <v>47.662179999999999</v>
      </c>
      <c r="I222" t="s">
        <v>329</v>
      </c>
      <c r="J222">
        <f t="shared" si="3"/>
        <v>3</v>
      </c>
      <c r="K222">
        <v>2</v>
      </c>
    </row>
    <row r="223" spans="1:11" x14ac:dyDescent="0.25">
      <c r="A223">
        <v>1702540</v>
      </c>
      <c r="B223">
        <v>430</v>
      </c>
      <c r="C223" t="s">
        <v>70</v>
      </c>
      <c r="D223" s="1">
        <v>42455.96875</v>
      </c>
      <c r="E223" t="s">
        <v>81</v>
      </c>
      <c r="F223" t="s">
        <v>82</v>
      </c>
      <c r="G223">
        <v>-122.34104000000001</v>
      </c>
      <c r="H223">
        <v>47.624546000000002</v>
      </c>
      <c r="I223" t="s">
        <v>330</v>
      </c>
      <c r="J223">
        <f t="shared" si="3"/>
        <v>1</v>
      </c>
      <c r="K223">
        <v>3</v>
      </c>
    </row>
    <row r="224" spans="1:11" x14ac:dyDescent="0.25">
      <c r="A224">
        <v>1702541</v>
      </c>
      <c r="B224">
        <v>350</v>
      </c>
      <c r="C224" t="s">
        <v>76</v>
      </c>
      <c r="D224" s="1">
        <v>42455.960416666669</v>
      </c>
      <c r="E224" t="s">
        <v>52</v>
      </c>
      <c r="F224" t="s">
        <v>53</v>
      </c>
      <c r="G224">
        <v>-122.34683</v>
      </c>
      <c r="H224">
        <v>47.675983000000002</v>
      </c>
      <c r="I224" t="s">
        <v>331</v>
      </c>
      <c r="J224">
        <f t="shared" si="3"/>
        <v>1</v>
      </c>
      <c r="K224">
        <v>2</v>
      </c>
    </row>
    <row r="225" spans="1:11" x14ac:dyDescent="0.25">
      <c r="A225">
        <v>1702542</v>
      </c>
      <c r="B225">
        <v>245</v>
      </c>
      <c r="C225" t="s">
        <v>32</v>
      </c>
      <c r="D225" s="1">
        <v>42455.962500000001</v>
      </c>
      <c r="E225" t="s">
        <v>64</v>
      </c>
      <c r="F225" t="s">
        <v>332</v>
      </c>
      <c r="G225">
        <v>-122.37875</v>
      </c>
      <c r="H225">
        <v>47.505516</v>
      </c>
      <c r="I225" t="s">
        <v>333</v>
      </c>
      <c r="J225">
        <f t="shared" si="3"/>
        <v>1</v>
      </c>
      <c r="K225">
        <v>3</v>
      </c>
    </row>
    <row r="226" spans="1:11" x14ac:dyDescent="0.25">
      <c r="A226">
        <v>1702544</v>
      </c>
      <c r="B226">
        <v>440</v>
      </c>
      <c r="C226" t="s">
        <v>334</v>
      </c>
      <c r="D226" s="1">
        <v>42455.977083333331</v>
      </c>
      <c r="E226" t="s">
        <v>104</v>
      </c>
      <c r="F226" t="s">
        <v>184</v>
      </c>
      <c r="G226">
        <v>-122.33711</v>
      </c>
      <c r="H226">
        <v>47.539810000000003</v>
      </c>
      <c r="I226" t="s">
        <v>335</v>
      </c>
      <c r="J226">
        <f t="shared" si="3"/>
        <v>1</v>
      </c>
      <c r="K226">
        <v>3</v>
      </c>
    </row>
    <row r="227" spans="1:11" x14ac:dyDescent="0.25">
      <c r="A227">
        <v>1702545</v>
      </c>
      <c r="B227">
        <v>244</v>
      </c>
      <c r="C227" t="s">
        <v>286</v>
      </c>
      <c r="D227" s="1">
        <v>42455.981249999997</v>
      </c>
      <c r="E227" t="s">
        <v>104</v>
      </c>
      <c r="F227" t="s">
        <v>184</v>
      </c>
      <c r="G227">
        <v>-122.36167</v>
      </c>
      <c r="H227">
        <v>47.556719999999999</v>
      </c>
      <c r="I227" t="s">
        <v>336</v>
      </c>
      <c r="J227">
        <f t="shared" si="3"/>
        <v>1</v>
      </c>
      <c r="K227">
        <v>0</v>
      </c>
    </row>
    <row r="228" spans="1:11" x14ac:dyDescent="0.25">
      <c r="A228">
        <v>1702546</v>
      </c>
      <c r="B228">
        <v>460</v>
      </c>
      <c r="C228" t="s">
        <v>18</v>
      </c>
      <c r="D228" s="1">
        <v>42455.972222222219</v>
      </c>
      <c r="E228" t="s">
        <v>43</v>
      </c>
      <c r="F228" t="s">
        <v>44</v>
      </c>
      <c r="G228">
        <v>-122.323746</v>
      </c>
      <c r="H228">
        <v>47.600025000000002</v>
      </c>
      <c r="I228" t="s">
        <v>337</v>
      </c>
      <c r="J228">
        <f t="shared" si="3"/>
        <v>1</v>
      </c>
      <c r="K228">
        <v>1</v>
      </c>
    </row>
    <row r="229" spans="1:11" x14ac:dyDescent="0.25">
      <c r="A229">
        <v>1702547</v>
      </c>
      <c r="B229">
        <v>250</v>
      </c>
      <c r="C229" t="s">
        <v>59</v>
      </c>
      <c r="D229" s="1">
        <v>42455.979861111111</v>
      </c>
      <c r="E229" t="s">
        <v>23</v>
      </c>
      <c r="F229" t="s">
        <v>189</v>
      </c>
      <c r="G229">
        <v>-122.34754</v>
      </c>
      <c r="H229">
        <v>47.630164999999998</v>
      </c>
      <c r="I229" t="s">
        <v>338</v>
      </c>
      <c r="J229">
        <f t="shared" si="3"/>
        <v>2</v>
      </c>
      <c r="K229">
        <v>3</v>
      </c>
    </row>
    <row r="230" spans="1:11" x14ac:dyDescent="0.25">
      <c r="A230">
        <v>1702549</v>
      </c>
      <c r="B230">
        <v>245</v>
      </c>
      <c r="C230" t="s">
        <v>32</v>
      </c>
      <c r="D230" s="1">
        <v>42455.984722222223</v>
      </c>
      <c r="E230" t="s">
        <v>47</v>
      </c>
      <c r="F230" t="s">
        <v>90</v>
      </c>
      <c r="G230">
        <v>-122.320915</v>
      </c>
      <c r="H230">
        <v>47.62256</v>
      </c>
      <c r="I230" t="s">
        <v>129</v>
      </c>
      <c r="J230">
        <f t="shared" si="3"/>
        <v>5</v>
      </c>
      <c r="K230">
        <v>0</v>
      </c>
    </row>
    <row r="231" spans="1:11" x14ac:dyDescent="0.25">
      <c r="A231">
        <v>1702550</v>
      </c>
      <c r="B231">
        <v>40</v>
      </c>
      <c r="C231" t="s">
        <v>119</v>
      </c>
      <c r="D231" s="1">
        <v>42455.972222222219</v>
      </c>
      <c r="E231" t="s">
        <v>43</v>
      </c>
      <c r="F231" t="s">
        <v>102</v>
      </c>
      <c r="G231">
        <v>-122.33744</v>
      </c>
      <c r="H231">
        <v>47.602676000000002</v>
      </c>
      <c r="I231" t="s">
        <v>339</v>
      </c>
      <c r="J231">
        <f t="shared" si="3"/>
        <v>1</v>
      </c>
      <c r="K231">
        <v>4</v>
      </c>
    </row>
    <row r="232" spans="1:11" x14ac:dyDescent="0.25">
      <c r="A232">
        <v>1702551</v>
      </c>
      <c r="B232">
        <v>40</v>
      </c>
      <c r="C232" t="s">
        <v>119</v>
      </c>
      <c r="D232" s="1">
        <v>42455.972222222219</v>
      </c>
      <c r="E232" t="s">
        <v>67</v>
      </c>
      <c r="F232" t="s">
        <v>100</v>
      </c>
      <c r="G232">
        <v>-122.33946</v>
      </c>
      <c r="H232">
        <v>47.609054999999998</v>
      </c>
      <c r="I232" t="s">
        <v>340</v>
      </c>
      <c r="J232">
        <f t="shared" si="3"/>
        <v>3</v>
      </c>
      <c r="K232">
        <v>2</v>
      </c>
    </row>
    <row r="233" spans="1:11" x14ac:dyDescent="0.25">
      <c r="A233">
        <v>1702552</v>
      </c>
      <c r="B233">
        <v>244</v>
      </c>
      <c r="C233" t="s">
        <v>286</v>
      </c>
      <c r="D233" s="1">
        <v>42456.002083333333</v>
      </c>
      <c r="E233" t="s">
        <v>95</v>
      </c>
      <c r="F233" t="s">
        <v>96</v>
      </c>
      <c r="G233">
        <v>-122.30062</v>
      </c>
      <c r="H233">
        <v>47.669260000000001</v>
      </c>
      <c r="I233" t="s">
        <v>341</v>
      </c>
      <c r="J233">
        <f t="shared" si="3"/>
        <v>1</v>
      </c>
      <c r="K233">
        <v>1</v>
      </c>
    </row>
    <row r="234" spans="1:11" x14ac:dyDescent="0.25">
      <c r="A234">
        <v>1702553</v>
      </c>
      <c r="B234">
        <v>430</v>
      </c>
      <c r="C234" t="s">
        <v>70</v>
      </c>
      <c r="D234" s="1">
        <v>42455.995138888888</v>
      </c>
      <c r="E234" t="s">
        <v>95</v>
      </c>
      <c r="F234" t="s">
        <v>96</v>
      </c>
      <c r="G234">
        <v>-122.27535</v>
      </c>
      <c r="H234">
        <v>47.692141999999997</v>
      </c>
      <c r="I234" t="s">
        <v>342</v>
      </c>
      <c r="J234">
        <f t="shared" si="3"/>
        <v>1</v>
      </c>
      <c r="K234">
        <v>1</v>
      </c>
    </row>
    <row r="235" spans="1:11" x14ac:dyDescent="0.25">
      <c r="A235">
        <v>1702554</v>
      </c>
      <c r="B235">
        <v>246</v>
      </c>
      <c r="C235" t="s">
        <v>285</v>
      </c>
      <c r="D235" s="1">
        <v>42455.998611111114</v>
      </c>
      <c r="E235" t="s">
        <v>47</v>
      </c>
      <c r="F235" t="s">
        <v>48</v>
      </c>
      <c r="G235">
        <v>-122.31685</v>
      </c>
      <c r="H235">
        <v>47.614685000000001</v>
      </c>
      <c r="I235" t="s">
        <v>343</v>
      </c>
      <c r="J235">
        <f t="shared" si="3"/>
        <v>3</v>
      </c>
      <c r="K235">
        <v>3</v>
      </c>
    </row>
    <row r="236" spans="1:11" x14ac:dyDescent="0.25">
      <c r="A236">
        <v>1702556</v>
      </c>
      <c r="B236">
        <v>31</v>
      </c>
      <c r="C236" t="s">
        <v>344</v>
      </c>
      <c r="D236" s="1">
        <v>42455.990972222222</v>
      </c>
      <c r="E236" t="s">
        <v>40</v>
      </c>
      <c r="F236" t="s">
        <v>115</v>
      </c>
      <c r="G236">
        <v>-122.309494</v>
      </c>
      <c r="H236">
        <v>47.615864000000002</v>
      </c>
      <c r="I236" t="s">
        <v>345</v>
      </c>
      <c r="J236">
        <f t="shared" si="3"/>
        <v>5</v>
      </c>
      <c r="K236">
        <v>1</v>
      </c>
    </row>
    <row r="237" spans="1:11" x14ac:dyDescent="0.25">
      <c r="A237">
        <v>1702557</v>
      </c>
      <c r="B237">
        <v>30</v>
      </c>
      <c r="C237" t="s">
        <v>346</v>
      </c>
      <c r="D237" s="1">
        <v>42455.997916666667</v>
      </c>
      <c r="E237" t="s">
        <v>29</v>
      </c>
      <c r="F237" t="s">
        <v>156</v>
      </c>
      <c r="G237">
        <v>-122.28485000000001</v>
      </c>
      <c r="H237">
        <v>47.518996999999999</v>
      </c>
      <c r="I237" t="s">
        <v>347</v>
      </c>
      <c r="J237">
        <f t="shared" si="3"/>
        <v>1</v>
      </c>
      <c r="K237">
        <v>4</v>
      </c>
    </row>
    <row r="238" spans="1:11" x14ac:dyDescent="0.25">
      <c r="A238">
        <v>1702558</v>
      </c>
      <c r="B238">
        <v>71</v>
      </c>
      <c r="C238" t="s">
        <v>142</v>
      </c>
      <c r="D238" s="1">
        <v>42455.938888888886</v>
      </c>
      <c r="E238" t="s">
        <v>71</v>
      </c>
      <c r="F238" t="s">
        <v>110</v>
      </c>
      <c r="G238">
        <v>-122.32375999999999</v>
      </c>
      <c r="H238">
        <v>47.597507</v>
      </c>
      <c r="I238" t="s">
        <v>348</v>
      </c>
      <c r="J238">
        <f t="shared" si="3"/>
        <v>1</v>
      </c>
      <c r="K238">
        <v>1</v>
      </c>
    </row>
    <row r="239" spans="1:11" x14ac:dyDescent="0.25">
      <c r="A239">
        <v>1702559</v>
      </c>
      <c r="B239">
        <v>430</v>
      </c>
      <c r="C239" t="s">
        <v>70</v>
      </c>
      <c r="D239" s="1">
        <v>42455.987500000003</v>
      </c>
      <c r="E239" t="s">
        <v>19</v>
      </c>
      <c r="F239" t="s">
        <v>349</v>
      </c>
      <c r="G239">
        <v>-122.311134</v>
      </c>
      <c r="H239">
        <v>47.548884999999999</v>
      </c>
      <c r="I239" t="s">
        <v>350</v>
      </c>
      <c r="J239">
        <f t="shared" si="3"/>
        <v>1</v>
      </c>
      <c r="K239">
        <v>4</v>
      </c>
    </row>
    <row r="240" spans="1:11" x14ac:dyDescent="0.25">
      <c r="A240">
        <v>1702560</v>
      </c>
      <c r="B240">
        <v>161</v>
      </c>
      <c r="C240" t="s">
        <v>35</v>
      </c>
      <c r="D240" s="1">
        <v>42455.990277777775</v>
      </c>
      <c r="E240" t="s">
        <v>78</v>
      </c>
      <c r="F240" t="s">
        <v>85</v>
      </c>
      <c r="G240">
        <v>-122.33356000000001</v>
      </c>
      <c r="H240">
        <v>47.672069999999998</v>
      </c>
      <c r="I240" t="s">
        <v>351</v>
      </c>
      <c r="J240">
        <f t="shared" si="3"/>
        <v>1</v>
      </c>
      <c r="K240">
        <v>4</v>
      </c>
    </row>
    <row r="241" spans="1:11" x14ac:dyDescent="0.25">
      <c r="A241">
        <v>1702561</v>
      </c>
      <c r="B241">
        <v>71</v>
      </c>
      <c r="C241" t="s">
        <v>142</v>
      </c>
      <c r="D241" s="1">
        <v>42455.988888888889</v>
      </c>
      <c r="E241" t="s">
        <v>11</v>
      </c>
      <c r="F241" t="s">
        <v>12</v>
      </c>
      <c r="G241">
        <v>-122.28626</v>
      </c>
      <c r="H241">
        <v>47.548896999999997</v>
      </c>
      <c r="I241" t="s">
        <v>352</v>
      </c>
      <c r="J241">
        <f t="shared" si="3"/>
        <v>1</v>
      </c>
      <c r="K241">
        <v>3</v>
      </c>
    </row>
    <row r="242" spans="1:11" x14ac:dyDescent="0.25">
      <c r="A242">
        <v>1702562</v>
      </c>
      <c r="B242">
        <v>30</v>
      </c>
      <c r="C242" t="s">
        <v>346</v>
      </c>
      <c r="D242" s="1">
        <v>42455.994444444441</v>
      </c>
      <c r="E242" t="s">
        <v>71</v>
      </c>
      <c r="F242" t="s">
        <v>72</v>
      </c>
      <c r="G242">
        <v>-122.29816</v>
      </c>
      <c r="H242">
        <v>47.57835</v>
      </c>
      <c r="I242" t="s">
        <v>353</v>
      </c>
      <c r="J242">
        <f t="shared" si="3"/>
        <v>1</v>
      </c>
      <c r="K242">
        <v>2</v>
      </c>
    </row>
    <row r="243" spans="1:11" x14ac:dyDescent="0.25">
      <c r="A243">
        <v>1702563</v>
      </c>
      <c r="B243">
        <v>280</v>
      </c>
      <c r="C243" t="s">
        <v>22</v>
      </c>
      <c r="D243" s="1">
        <v>42456.005555555559</v>
      </c>
      <c r="E243" t="s">
        <v>71</v>
      </c>
      <c r="F243" t="s">
        <v>110</v>
      </c>
      <c r="G243">
        <v>-122.33027</v>
      </c>
      <c r="H243">
        <v>47.600876</v>
      </c>
      <c r="I243" t="s">
        <v>354</v>
      </c>
      <c r="J243">
        <f t="shared" si="3"/>
        <v>1</v>
      </c>
      <c r="K243">
        <v>2</v>
      </c>
    </row>
    <row r="244" spans="1:11" x14ac:dyDescent="0.25">
      <c r="A244">
        <v>1702564</v>
      </c>
      <c r="B244">
        <v>202</v>
      </c>
      <c r="C244" t="s">
        <v>355</v>
      </c>
      <c r="D244" s="1">
        <v>42456.008333333331</v>
      </c>
      <c r="E244" t="s">
        <v>78</v>
      </c>
      <c r="F244" t="s">
        <v>85</v>
      </c>
      <c r="G244">
        <v>-122.33886</v>
      </c>
      <c r="H244">
        <v>47.661385000000003</v>
      </c>
      <c r="I244" t="s">
        <v>356</v>
      </c>
      <c r="J244">
        <f t="shared" si="3"/>
        <v>1</v>
      </c>
      <c r="K244">
        <v>2</v>
      </c>
    </row>
    <row r="245" spans="1:11" x14ac:dyDescent="0.25">
      <c r="A245">
        <v>1702565</v>
      </c>
      <c r="B245">
        <v>63</v>
      </c>
      <c r="C245" t="s">
        <v>87</v>
      </c>
      <c r="D245" s="1">
        <v>42456.002083333333</v>
      </c>
      <c r="E245" t="s">
        <v>71</v>
      </c>
      <c r="F245" t="s">
        <v>110</v>
      </c>
      <c r="G245">
        <v>-122.34022</v>
      </c>
      <c r="H245">
        <v>47.607365000000001</v>
      </c>
      <c r="I245" t="s">
        <v>357</v>
      </c>
      <c r="J245">
        <f t="shared" si="3"/>
        <v>3</v>
      </c>
      <c r="K245">
        <v>1</v>
      </c>
    </row>
    <row r="246" spans="1:11" x14ac:dyDescent="0.25">
      <c r="A246">
        <v>1702566</v>
      </c>
      <c r="B246">
        <v>64</v>
      </c>
      <c r="C246" t="s">
        <v>158</v>
      </c>
      <c r="D246" s="1">
        <v>42456.00277777778</v>
      </c>
      <c r="E246" t="s">
        <v>130</v>
      </c>
      <c r="F246" t="s">
        <v>272</v>
      </c>
      <c r="G246">
        <v>-122.31786</v>
      </c>
      <c r="H246">
        <v>47.709389999999999</v>
      </c>
      <c r="I246" t="s">
        <v>358</v>
      </c>
      <c r="J246">
        <f t="shared" si="3"/>
        <v>4</v>
      </c>
      <c r="K246">
        <v>3</v>
      </c>
    </row>
    <row r="247" spans="1:11" x14ac:dyDescent="0.25">
      <c r="A247">
        <v>1702568</v>
      </c>
      <c r="B247">
        <v>460</v>
      </c>
      <c r="C247" t="s">
        <v>18</v>
      </c>
      <c r="D247" s="1">
        <v>42456.018055555556</v>
      </c>
      <c r="E247" t="s">
        <v>81</v>
      </c>
      <c r="F247" t="s">
        <v>135</v>
      </c>
      <c r="G247">
        <v>-122.345</v>
      </c>
      <c r="H247">
        <v>47.613655000000001</v>
      </c>
      <c r="I247" t="s">
        <v>359</v>
      </c>
      <c r="J247">
        <f t="shared" si="3"/>
        <v>1</v>
      </c>
      <c r="K247">
        <v>1</v>
      </c>
    </row>
    <row r="248" spans="1:11" x14ac:dyDescent="0.25">
      <c r="A248">
        <v>1702569</v>
      </c>
      <c r="B248">
        <v>250</v>
      </c>
      <c r="C248" t="s">
        <v>59</v>
      </c>
      <c r="D248" s="1">
        <v>42456.013888888891</v>
      </c>
      <c r="E248" t="s">
        <v>71</v>
      </c>
      <c r="F248" t="s">
        <v>110</v>
      </c>
      <c r="G248">
        <v>-122.290764</v>
      </c>
      <c r="H248">
        <v>47.708370000000002</v>
      </c>
      <c r="I248" t="s">
        <v>360</v>
      </c>
      <c r="J248">
        <f t="shared" si="3"/>
        <v>1</v>
      </c>
      <c r="K248">
        <v>1</v>
      </c>
    </row>
    <row r="249" spans="1:11" x14ac:dyDescent="0.25">
      <c r="A249">
        <v>1702570</v>
      </c>
      <c r="B249">
        <v>260</v>
      </c>
      <c r="C249" t="s">
        <v>361</v>
      </c>
      <c r="D249" s="1">
        <v>42456.013888888891</v>
      </c>
      <c r="E249" t="s">
        <v>47</v>
      </c>
      <c r="F249" t="s">
        <v>48</v>
      </c>
      <c r="G249">
        <v>-122.32079</v>
      </c>
      <c r="H249">
        <v>47.614654999999999</v>
      </c>
      <c r="I249" t="s">
        <v>362</v>
      </c>
      <c r="J249">
        <f t="shared" si="3"/>
        <v>3</v>
      </c>
      <c r="K249">
        <v>2</v>
      </c>
    </row>
    <row r="250" spans="1:11" x14ac:dyDescent="0.25">
      <c r="A250">
        <v>1702571</v>
      </c>
      <c r="B250">
        <v>245</v>
      </c>
      <c r="C250" t="s">
        <v>32</v>
      </c>
      <c r="D250" s="1">
        <v>42456.011805555558</v>
      </c>
      <c r="E250" t="s">
        <v>78</v>
      </c>
      <c r="F250" t="s">
        <v>79</v>
      </c>
      <c r="G250">
        <v>-122.39507</v>
      </c>
      <c r="H250">
        <v>47.668644</v>
      </c>
      <c r="I250" t="s">
        <v>363</v>
      </c>
      <c r="J250">
        <f t="shared" si="3"/>
        <v>1</v>
      </c>
      <c r="K250">
        <v>2</v>
      </c>
    </row>
    <row r="251" spans="1:11" x14ac:dyDescent="0.25">
      <c r="A251">
        <v>1702572</v>
      </c>
      <c r="B251">
        <v>372</v>
      </c>
      <c r="C251" t="s">
        <v>84</v>
      </c>
      <c r="D251" s="1">
        <v>42456.006944444445</v>
      </c>
      <c r="E251" t="s">
        <v>95</v>
      </c>
      <c r="F251" t="s">
        <v>98</v>
      </c>
      <c r="G251">
        <v>-122.315254</v>
      </c>
      <c r="H251">
        <v>47.664012999999997</v>
      </c>
      <c r="I251" t="s">
        <v>364</v>
      </c>
      <c r="J251">
        <f t="shared" si="3"/>
        <v>1</v>
      </c>
      <c r="K251">
        <v>2</v>
      </c>
    </row>
    <row r="252" spans="1:11" x14ac:dyDescent="0.25">
      <c r="A252">
        <v>1702573</v>
      </c>
      <c r="B252">
        <v>200</v>
      </c>
      <c r="C252" t="s">
        <v>187</v>
      </c>
      <c r="D252" s="1">
        <v>42456.02847222222</v>
      </c>
      <c r="E252" t="s">
        <v>47</v>
      </c>
      <c r="F252" t="s">
        <v>90</v>
      </c>
      <c r="G252">
        <v>-122.32086</v>
      </c>
      <c r="H252">
        <v>47.619323999999999</v>
      </c>
      <c r="I252" t="s">
        <v>365</v>
      </c>
      <c r="J252">
        <f t="shared" si="3"/>
        <v>1</v>
      </c>
      <c r="K252">
        <v>2</v>
      </c>
    </row>
    <row r="253" spans="1:11" x14ac:dyDescent="0.25">
      <c r="A253">
        <v>1702574</v>
      </c>
      <c r="B253">
        <v>177</v>
      </c>
      <c r="C253" t="s">
        <v>61</v>
      </c>
      <c r="D253" s="1">
        <v>42456.018750000003</v>
      </c>
      <c r="E253" t="s">
        <v>67</v>
      </c>
      <c r="F253" t="s">
        <v>100</v>
      </c>
      <c r="G253">
        <v>-122.34287999999999</v>
      </c>
      <c r="H253">
        <v>47.609814</v>
      </c>
      <c r="I253" t="s">
        <v>236</v>
      </c>
      <c r="J253">
        <f t="shared" si="3"/>
        <v>10</v>
      </c>
      <c r="K253">
        <v>1</v>
      </c>
    </row>
    <row r="254" spans="1:11" x14ac:dyDescent="0.25">
      <c r="A254">
        <v>1702575</v>
      </c>
      <c r="B254">
        <v>161</v>
      </c>
      <c r="C254" t="s">
        <v>35</v>
      </c>
      <c r="D254" s="1">
        <v>42456.025000000001</v>
      </c>
      <c r="E254" t="s">
        <v>71</v>
      </c>
      <c r="F254" t="s">
        <v>72</v>
      </c>
      <c r="G254">
        <v>-122.38473999999999</v>
      </c>
      <c r="H254">
        <v>47.669820000000001</v>
      </c>
      <c r="I254" t="s">
        <v>167</v>
      </c>
      <c r="J254">
        <f t="shared" si="3"/>
        <v>2</v>
      </c>
      <c r="K254">
        <v>1</v>
      </c>
    </row>
    <row r="255" spans="1:11" x14ac:dyDescent="0.25">
      <c r="A255">
        <v>1702576</v>
      </c>
      <c r="B255">
        <v>200</v>
      </c>
      <c r="C255" t="s">
        <v>187</v>
      </c>
      <c r="D255" s="1">
        <v>42456.027083333334</v>
      </c>
      <c r="E255" t="s">
        <v>67</v>
      </c>
      <c r="F255" t="s">
        <v>193</v>
      </c>
      <c r="G255">
        <v>-122.33835000000001</v>
      </c>
      <c r="H255">
        <v>47.609515999999999</v>
      </c>
      <c r="I255" t="s">
        <v>366</v>
      </c>
      <c r="J255">
        <f t="shared" si="3"/>
        <v>8</v>
      </c>
      <c r="K255">
        <v>2</v>
      </c>
    </row>
    <row r="256" spans="1:11" x14ac:dyDescent="0.25">
      <c r="A256">
        <v>1702577</v>
      </c>
      <c r="B256">
        <v>244</v>
      </c>
      <c r="C256" t="s">
        <v>286</v>
      </c>
      <c r="D256" s="1">
        <v>42456.027083333334</v>
      </c>
      <c r="E256" t="s">
        <v>95</v>
      </c>
      <c r="F256" t="s">
        <v>367</v>
      </c>
      <c r="G256">
        <v>-122.31193</v>
      </c>
      <c r="H256">
        <v>47.665660000000003</v>
      </c>
      <c r="I256" t="s">
        <v>368</v>
      </c>
      <c r="J256">
        <f t="shared" si="3"/>
        <v>1</v>
      </c>
      <c r="K256">
        <v>2</v>
      </c>
    </row>
    <row r="257" spans="1:11" x14ac:dyDescent="0.25">
      <c r="A257">
        <v>1702578</v>
      </c>
      <c r="B257">
        <v>281</v>
      </c>
      <c r="C257" t="s">
        <v>26</v>
      </c>
      <c r="D257" s="1">
        <v>42456.015277777777</v>
      </c>
      <c r="E257" t="s">
        <v>71</v>
      </c>
      <c r="F257" t="s">
        <v>72</v>
      </c>
      <c r="G257">
        <v>-122.31348</v>
      </c>
      <c r="H257">
        <v>47.553443999999999</v>
      </c>
      <c r="I257" t="s">
        <v>369</v>
      </c>
      <c r="J257">
        <f t="shared" si="3"/>
        <v>1</v>
      </c>
      <c r="K257">
        <v>2</v>
      </c>
    </row>
    <row r="258" spans="1:11" x14ac:dyDescent="0.25">
      <c r="A258">
        <v>1702579</v>
      </c>
      <c r="B258">
        <v>280</v>
      </c>
      <c r="C258" t="s">
        <v>22</v>
      </c>
      <c r="D258" s="1">
        <v>42456.032638888886</v>
      </c>
      <c r="E258" t="s">
        <v>40</v>
      </c>
      <c r="F258" t="s">
        <v>115</v>
      </c>
      <c r="G258">
        <v>-122.305695</v>
      </c>
      <c r="H258">
        <v>47.637180000000001</v>
      </c>
      <c r="I258" t="s">
        <v>370</v>
      </c>
      <c r="J258">
        <f t="shared" ref="J258:J321" si="4">COUNTIF($I$2:$I$1046,I258)</f>
        <v>1</v>
      </c>
      <c r="K258">
        <v>1</v>
      </c>
    </row>
    <row r="259" spans="1:11" x14ac:dyDescent="0.25">
      <c r="A259">
        <v>1702580</v>
      </c>
      <c r="B259">
        <v>245</v>
      </c>
      <c r="C259" t="s">
        <v>32</v>
      </c>
      <c r="D259" s="1">
        <v>42456.03402777778</v>
      </c>
      <c r="E259" t="s">
        <v>11</v>
      </c>
      <c r="F259" t="s">
        <v>12</v>
      </c>
      <c r="G259">
        <v>-122.28801</v>
      </c>
      <c r="H259">
        <v>47.563457</v>
      </c>
      <c r="I259" t="s">
        <v>371</v>
      </c>
      <c r="J259">
        <f t="shared" si="4"/>
        <v>2</v>
      </c>
      <c r="K259">
        <v>3</v>
      </c>
    </row>
    <row r="260" spans="1:11" x14ac:dyDescent="0.25">
      <c r="A260">
        <v>1702581</v>
      </c>
      <c r="B260">
        <v>281</v>
      </c>
      <c r="C260" t="s">
        <v>26</v>
      </c>
      <c r="D260" s="1">
        <v>42456.020833333336</v>
      </c>
      <c r="E260" t="s">
        <v>71</v>
      </c>
      <c r="F260" t="s">
        <v>110</v>
      </c>
      <c r="G260">
        <v>-122.38616</v>
      </c>
      <c r="H260">
        <v>47.671641999999999</v>
      </c>
      <c r="I260" t="s">
        <v>372</v>
      </c>
      <c r="J260">
        <f t="shared" si="4"/>
        <v>1</v>
      </c>
      <c r="K260">
        <v>3</v>
      </c>
    </row>
    <row r="261" spans="1:11" x14ac:dyDescent="0.25">
      <c r="A261">
        <v>1702583</v>
      </c>
      <c r="B261">
        <v>246</v>
      </c>
      <c r="C261" t="s">
        <v>285</v>
      </c>
      <c r="D261" s="1">
        <v>42456.019444444442</v>
      </c>
      <c r="E261" t="s">
        <v>64</v>
      </c>
      <c r="F261" t="s">
        <v>65</v>
      </c>
      <c r="G261">
        <v>-122.37501</v>
      </c>
      <c r="H261">
        <v>47.549225</v>
      </c>
      <c r="I261" t="s">
        <v>373</v>
      </c>
      <c r="J261">
        <f t="shared" si="4"/>
        <v>1</v>
      </c>
      <c r="K261">
        <v>4</v>
      </c>
    </row>
    <row r="262" spans="1:11" x14ac:dyDescent="0.25">
      <c r="A262">
        <v>1702584</v>
      </c>
      <c r="B262">
        <v>430</v>
      </c>
      <c r="C262" t="s">
        <v>70</v>
      </c>
      <c r="D262" s="1">
        <v>42456.026388888888</v>
      </c>
      <c r="E262" t="s">
        <v>23</v>
      </c>
      <c r="F262" t="s">
        <v>88</v>
      </c>
      <c r="G262">
        <v>-122.35671000000001</v>
      </c>
      <c r="H262">
        <v>47.624580000000002</v>
      </c>
      <c r="I262" t="s">
        <v>374</v>
      </c>
      <c r="J262">
        <f t="shared" si="4"/>
        <v>2</v>
      </c>
      <c r="K262">
        <v>4</v>
      </c>
    </row>
    <row r="263" spans="1:11" x14ac:dyDescent="0.25">
      <c r="A263">
        <v>1702585</v>
      </c>
      <c r="B263">
        <v>430</v>
      </c>
      <c r="C263" t="s">
        <v>70</v>
      </c>
      <c r="D263" s="1">
        <v>42456.027083333334</v>
      </c>
      <c r="E263" t="s">
        <v>145</v>
      </c>
      <c r="F263" t="s">
        <v>314</v>
      </c>
      <c r="G263">
        <v>-122.35478000000001</v>
      </c>
      <c r="H263">
        <v>47.705081999999997</v>
      </c>
      <c r="I263" t="s">
        <v>375</v>
      </c>
      <c r="J263">
        <f t="shared" si="4"/>
        <v>1</v>
      </c>
      <c r="K263">
        <v>4</v>
      </c>
    </row>
    <row r="264" spans="1:11" x14ac:dyDescent="0.25">
      <c r="A264">
        <v>1702586</v>
      </c>
      <c r="B264">
        <v>470</v>
      </c>
      <c r="C264" t="s">
        <v>14</v>
      </c>
      <c r="D264" s="1">
        <v>42456.022222222222</v>
      </c>
      <c r="E264" t="s">
        <v>95</v>
      </c>
      <c r="F264" t="s">
        <v>98</v>
      </c>
      <c r="G264">
        <v>-122.31525999999999</v>
      </c>
      <c r="H264">
        <v>47.663105000000002</v>
      </c>
      <c r="I264" t="s">
        <v>376</v>
      </c>
      <c r="J264">
        <f t="shared" si="4"/>
        <v>1</v>
      </c>
      <c r="K264">
        <v>4</v>
      </c>
    </row>
    <row r="265" spans="1:11" x14ac:dyDescent="0.25">
      <c r="A265">
        <v>1702587</v>
      </c>
      <c r="B265">
        <v>372</v>
      </c>
      <c r="C265" t="s">
        <v>84</v>
      </c>
      <c r="D265" s="1">
        <v>42456.025000000001</v>
      </c>
      <c r="E265" t="s">
        <v>145</v>
      </c>
      <c r="F265" t="s">
        <v>314</v>
      </c>
      <c r="G265">
        <v>-122.35545999999999</v>
      </c>
      <c r="H265">
        <v>47.70599</v>
      </c>
      <c r="I265" t="s">
        <v>377</v>
      </c>
      <c r="J265">
        <f t="shared" si="4"/>
        <v>3</v>
      </c>
      <c r="K265">
        <v>2</v>
      </c>
    </row>
    <row r="266" spans="1:11" x14ac:dyDescent="0.25">
      <c r="A266">
        <v>1702588</v>
      </c>
      <c r="B266">
        <v>250</v>
      </c>
      <c r="C266" t="s">
        <v>59</v>
      </c>
      <c r="D266" s="1">
        <v>42456.036111111112</v>
      </c>
      <c r="E266" t="s">
        <v>67</v>
      </c>
      <c r="F266" t="s">
        <v>193</v>
      </c>
      <c r="G266">
        <v>-122.33512</v>
      </c>
      <c r="H266">
        <v>47.61018</v>
      </c>
      <c r="I266" t="s">
        <v>378</v>
      </c>
      <c r="J266">
        <f t="shared" si="4"/>
        <v>1</v>
      </c>
      <c r="K266">
        <v>0</v>
      </c>
    </row>
    <row r="267" spans="1:11" x14ac:dyDescent="0.25">
      <c r="A267">
        <v>1702589</v>
      </c>
      <c r="B267">
        <v>245</v>
      </c>
      <c r="C267" t="s">
        <v>32</v>
      </c>
      <c r="D267" s="1">
        <v>42456.03402777778</v>
      </c>
      <c r="E267" t="s">
        <v>11</v>
      </c>
      <c r="F267" t="s">
        <v>12</v>
      </c>
      <c r="G267">
        <v>-122.27965500000001</v>
      </c>
      <c r="H267">
        <v>47.553401999999998</v>
      </c>
      <c r="I267" t="s">
        <v>379</v>
      </c>
      <c r="J267">
        <f t="shared" si="4"/>
        <v>1</v>
      </c>
      <c r="K267">
        <v>0</v>
      </c>
    </row>
    <row r="268" spans="1:11" x14ac:dyDescent="0.25">
      <c r="A268">
        <v>1702590</v>
      </c>
      <c r="B268">
        <v>245</v>
      </c>
      <c r="C268" t="s">
        <v>32</v>
      </c>
      <c r="D268" s="1">
        <v>42456.029861111114</v>
      </c>
      <c r="E268" t="s">
        <v>11</v>
      </c>
      <c r="F268" t="s">
        <v>245</v>
      </c>
      <c r="G268">
        <v>-122.30424499999999</v>
      </c>
      <c r="H268">
        <v>47.584510000000002</v>
      </c>
      <c r="I268" t="s">
        <v>380</v>
      </c>
      <c r="J268">
        <f t="shared" si="4"/>
        <v>1</v>
      </c>
      <c r="K268">
        <v>1</v>
      </c>
    </row>
    <row r="269" spans="1:11" x14ac:dyDescent="0.25">
      <c r="A269">
        <v>1702591</v>
      </c>
      <c r="B269">
        <v>450</v>
      </c>
      <c r="C269" t="s">
        <v>266</v>
      </c>
      <c r="D269" s="1">
        <v>42456.03402777778</v>
      </c>
      <c r="E269" t="s">
        <v>95</v>
      </c>
      <c r="F269" t="s">
        <v>367</v>
      </c>
      <c r="G269">
        <v>-122.31495</v>
      </c>
      <c r="H269">
        <v>47.671703000000001</v>
      </c>
      <c r="I269" t="s">
        <v>381</v>
      </c>
      <c r="J269">
        <f t="shared" si="4"/>
        <v>1</v>
      </c>
      <c r="K269">
        <v>3</v>
      </c>
    </row>
    <row r="270" spans="1:11" x14ac:dyDescent="0.25">
      <c r="A270">
        <v>1702592</v>
      </c>
      <c r="B270">
        <v>201</v>
      </c>
      <c r="C270" t="s">
        <v>36</v>
      </c>
      <c r="D270" s="1">
        <v>42456.029861111114</v>
      </c>
      <c r="E270" t="s">
        <v>52</v>
      </c>
      <c r="F270" t="s">
        <v>232</v>
      </c>
      <c r="G270">
        <v>-122.386475</v>
      </c>
      <c r="H270">
        <v>47.687750000000001</v>
      </c>
      <c r="I270" t="s">
        <v>382</v>
      </c>
      <c r="J270">
        <f t="shared" si="4"/>
        <v>1</v>
      </c>
      <c r="K270">
        <v>1</v>
      </c>
    </row>
    <row r="271" spans="1:11" x14ac:dyDescent="0.25">
      <c r="A271">
        <v>1702593</v>
      </c>
      <c r="B271">
        <v>245</v>
      </c>
      <c r="C271" t="s">
        <v>32</v>
      </c>
      <c r="D271" s="1">
        <v>42456.043055555558</v>
      </c>
      <c r="E271" t="s">
        <v>23</v>
      </c>
      <c r="F271" t="s">
        <v>189</v>
      </c>
      <c r="G271">
        <v>-122.37031</v>
      </c>
      <c r="H271">
        <v>47.639595</v>
      </c>
      <c r="I271" t="s">
        <v>383</v>
      </c>
      <c r="J271">
        <f t="shared" si="4"/>
        <v>1</v>
      </c>
      <c r="K271">
        <v>2</v>
      </c>
    </row>
    <row r="272" spans="1:11" x14ac:dyDescent="0.25">
      <c r="A272">
        <v>1702594</v>
      </c>
      <c r="B272">
        <v>139</v>
      </c>
      <c r="C272" t="s">
        <v>197</v>
      </c>
      <c r="D272" s="1">
        <v>42456.038888888892</v>
      </c>
      <c r="E272" t="s">
        <v>47</v>
      </c>
      <c r="F272" t="s">
        <v>177</v>
      </c>
      <c r="G272">
        <v>-122.32619</v>
      </c>
      <c r="H272">
        <v>47.614082000000003</v>
      </c>
      <c r="I272" t="s">
        <v>384</v>
      </c>
      <c r="J272">
        <f t="shared" si="4"/>
        <v>1</v>
      </c>
      <c r="K272">
        <v>2</v>
      </c>
    </row>
    <row r="273" spans="1:11" x14ac:dyDescent="0.25">
      <c r="A273">
        <v>1702595</v>
      </c>
      <c r="B273">
        <v>65</v>
      </c>
      <c r="C273" t="s">
        <v>39</v>
      </c>
      <c r="D273" s="1">
        <v>42456.038888888892</v>
      </c>
      <c r="E273" t="s">
        <v>78</v>
      </c>
      <c r="F273" t="s">
        <v>79</v>
      </c>
      <c r="G273">
        <v>-122.3749</v>
      </c>
      <c r="H273">
        <v>47.668666999999999</v>
      </c>
      <c r="I273" t="s">
        <v>385</v>
      </c>
      <c r="J273">
        <f t="shared" si="4"/>
        <v>1</v>
      </c>
      <c r="K273">
        <v>0</v>
      </c>
    </row>
    <row r="274" spans="1:11" x14ac:dyDescent="0.25">
      <c r="A274">
        <v>1702596</v>
      </c>
      <c r="B274">
        <v>63</v>
      </c>
      <c r="C274" t="s">
        <v>87</v>
      </c>
      <c r="D274" s="1">
        <v>42456.040972222225</v>
      </c>
      <c r="E274" t="s">
        <v>43</v>
      </c>
      <c r="F274" t="s">
        <v>218</v>
      </c>
      <c r="G274">
        <v>-122.331985</v>
      </c>
      <c r="H274">
        <v>47.601714999999999</v>
      </c>
      <c r="I274" t="s">
        <v>386</v>
      </c>
      <c r="J274">
        <f t="shared" si="4"/>
        <v>1</v>
      </c>
      <c r="K274">
        <v>0</v>
      </c>
    </row>
    <row r="275" spans="1:11" x14ac:dyDescent="0.25">
      <c r="A275">
        <v>1702597</v>
      </c>
      <c r="B275">
        <v>280</v>
      </c>
      <c r="C275" t="s">
        <v>22</v>
      </c>
      <c r="D275" s="1">
        <v>42456.041666666664</v>
      </c>
      <c r="E275" t="s">
        <v>52</v>
      </c>
      <c r="F275" t="s">
        <v>53</v>
      </c>
      <c r="G275">
        <v>-122.32596599999999</v>
      </c>
      <c r="H275">
        <v>47.680508000000003</v>
      </c>
      <c r="I275" t="s">
        <v>387</v>
      </c>
      <c r="J275">
        <f t="shared" si="4"/>
        <v>1</v>
      </c>
      <c r="K275">
        <v>0</v>
      </c>
    </row>
    <row r="276" spans="1:11" x14ac:dyDescent="0.25">
      <c r="A276">
        <v>1702598</v>
      </c>
      <c r="B276">
        <v>280</v>
      </c>
      <c r="C276" t="s">
        <v>22</v>
      </c>
      <c r="D276" s="1">
        <v>42456.036111111112</v>
      </c>
      <c r="E276" t="s">
        <v>40</v>
      </c>
      <c r="F276" t="s">
        <v>115</v>
      </c>
      <c r="G276">
        <v>-122.309494</v>
      </c>
      <c r="H276">
        <v>47.615864000000002</v>
      </c>
      <c r="I276" t="s">
        <v>345</v>
      </c>
      <c r="J276">
        <f t="shared" si="4"/>
        <v>5</v>
      </c>
      <c r="K276">
        <v>1</v>
      </c>
    </row>
    <row r="277" spans="1:11" x14ac:dyDescent="0.25">
      <c r="A277">
        <v>1702599</v>
      </c>
      <c r="B277">
        <v>470</v>
      </c>
      <c r="C277" t="s">
        <v>14</v>
      </c>
      <c r="D277" s="1">
        <v>42456.040972222225</v>
      </c>
      <c r="E277" t="s">
        <v>71</v>
      </c>
      <c r="F277" t="s">
        <v>126</v>
      </c>
      <c r="G277">
        <v>-122.32006</v>
      </c>
      <c r="H277">
        <v>47.642273000000003</v>
      </c>
      <c r="I277" t="s">
        <v>388</v>
      </c>
      <c r="J277">
        <f t="shared" si="4"/>
        <v>1</v>
      </c>
      <c r="K277">
        <v>1</v>
      </c>
    </row>
    <row r="278" spans="1:11" x14ac:dyDescent="0.25">
      <c r="A278">
        <v>1702600</v>
      </c>
      <c r="B278">
        <v>220</v>
      </c>
      <c r="C278" t="s">
        <v>173</v>
      </c>
      <c r="D278" s="1">
        <v>42455.998611111114</v>
      </c>
      <c r="E278" t="s">
        <v>52</v>
      </c>
      <c r="F278" t="s">
        <v>53</v>
      </c>
      <c r="G278">
        <v>-122.35386</v>
      </c>
      <c r="H278">
        <v>47.684019999999997</v>
      </c>
      <c r="I278" t="s">
        <v>389</v>
      </c>
      <c r="J278">
        <f t="shared" si="4"/>
        <v>1</v>
      </c>
      <c r="K278">
        <v>4</v>
      </c>
    </row>
    <row r="279" spans="1:11" x14ac:dyDescent="0.25">
      <c r="A279">
        <v>1702601</v>
      </c>
      <c r="B279">
        <v>64</v>
      </c>
      <c r="C279" t="s">
        <v>158</v>
      </c>
      <c r="D279" s="1">
        <v>42456.037499999999</v>
      </c>
      <c r="E279" t="s">
        <v>15</v>
      </c>
      <c r="F279" t="s">
        <v>390</v>
      </c>
      <c r="G279">
        <v>-122.31344</v>
      </c>
      <c r="H279">
        <v>47.596653000000003</v>
      </c>
      <c r="I279" t="s">
        <v>391</v>
      </c>
      <c r="J279">
        <f t="shared" si="4"/>
        <v>4</v>
      </c>
      <c r="K279">
        <v>3</v>
      </c>
    </row>
    <row r="280" spans="1:11" x14ac:dyDescent="0.25">
      <c r="A280">
        <v>1702602</v>
      </c>
      <c r="B280">
        <v>64</v>
      </c>
      <c r="C280" t="s">
        <v>158</v>
      </c>
      <c r="D280" s="1">
        <v>42456.036805555559</v>
      </c>
      <c r="E280" t="s">
        <v>15</v>
      </c>
      <c r="F280" t="s">
        <v>390</v>
      </c>
      <c r="G280">
        <v>-122.31026</v>
      </c>
      <c r="H280">
        <v>47.594214999999998</v>
      </c>
      <c r="I280" t="s">
        <v>392</v>
      </c>
      <c r="J280">
        <f t="shared" si="4"/>
        <v>2</v>
      </c>
      <c r="K280">
        <v>1</v>
      </c>
    </row>
    <row r="281" spans="1:11" x14ac:dyDescent="0.25">
      <c r="A281">
        <v>1702603</v>
      </c>
      <c r="B281">
        <v>177</v>
      </c>
      <c r="C281" t="s">
        <v>61</v>
      </c>
      <c r="D281" s="1">
        <v>42456.046527777777</v>
      </c>
      <c r="E281" t="s">
        <v>67</v>
      </c>
      <c r="F281" t="s">
        <v>68</v>
      </c>
      <c r="G281">
        <v>-122.3409</v>
      </c>
      <c r="H281">
        <v>47.612395999999997</v>
      </c>
      <c r="I281" t="s">
        <v>393</v>
      </c>
      <c r="J281">
        <f t="shared" si="4"/>
        <v>2</v>
      </c>
      <c r="K281">
        <v>3</v>
      </c>
    </row>
    <row r="282" spans="1:11" x14ac:dyDescent="0.25">
      <c r="A282">
        <v>1702604</v>
      </c>
      <c r="B282">
        <v>177</v>
      </c>
      <c r="C282" t="s">
        <v>61</v>
      </c>
      <c r="D282" s="1">
        <v>42456.042361111111</v>
      </c>
      <c r="E282" t="s">
        <v>11</v>
      </c>
      <c r="F282" t="s">
        <v>245</v>
      </c>
      <c r="G282">
        <v>-122.313805</v>
      </c>
      <c r="H282">
        <v>47.581012999999999</v>
      </c>
      <c r="I282" t="s">
        <v>284</v>
      </c>
      <c r="J282">
        <f t="shared" si="4"/>
        <v>3</v>
      </c>
      <c r="K282">
        <v>4</v>
      </c>
    </row>
    <row r="283" spans="1:11" x14ac:dyDescent="0.25">
      <c r="A283">
        <v>1702605</v>
      </c>
      <c r="B283">
        <v>280</v>
      </c>
      <c r="C283" t="s">
        <v>22</v>
      </c>
      <c r="D283" s="1">
        <v>42456.042361111111</v>
      </c>
      <c r="E283" t="s">
        <v>95</v>
      </c>
      <c r="F283" t="s">
        <v>98</v>
      </c>
      <c r="G283">
        <v>-122.31908</v>
      </c>
      <c r="H283">
        <v>47.654420000000002</v>
      </c>
      <c r="I283" t="s">
        <v>394</v>
      </c>
      <c r="J283">
        <f t="shared" si="4"/>
        <v>1</v>
      </c>
      <c r="K283">
        <v>1</v>
      </c>
    </row>
    <row r="284" spans="1:11" x14ac:dyDescent="0.25">
      <c r="A284">
        <v>1702606</v>
      </c>
      <c r="B284">
        <v>430</v>
      </c>
      <c r="C284" t="s">
        <v>70</v>
      </c>
      <c r="D284" s="1">
        <v>42456.043055555558</v>
      </c>
      <c r="E284" t="s">
        <v>47</v>
      </c>
      <c r="F284" t="s">
        <v>48</v>
      </c>
      <c r="G284">
        <v>-122.32079</v>
      </c>
      <c r="H284">
        <v>47.614654999999999</v>
      </c>
      <c r="I284" t="s">
        <v>362</v>
      </c>
      <c r="J284">
        <f t="shared" si="4"/>
        <v>3</v>
      </c>
      <c r="K284">
        <v>1</v>
      </c>
    </row>
    <row r="285" spans="1:11" x14ac:dyDescent="0.25">
      <c r="A285">
        <v>1702607</v>
      </c>
      <c r="B285">
        <v>245</v>
      </c>
      <c r="C285" t="s">
        <v>32</v>
      </c>
      <c r="D285" s="1">
        <v>42456.042361111111</v>
      </c>
      <c r="E285" t="s">
        <v>11</v>
      </c>
      <c r="F285" t="s">
        <v>33</v>
      </c>
      <c r="G285">
        <v>-122.29518</v>
      </c>
      <c r="H285">
        <v>47.579250000000002</v>
      </c>
      <c r="I285" t="s">
        <v>395</v>
      </c>
      <c r="J285">
        <f t="shared" si="4"/>
        <v>1</v>
      </c>
      <c r="K285">
        <v>0</v>
      </c>
    </row>
    <row r="286" spans="1:11" x14ac:dyDescent="0.25">
      <c r="A286">
        <v>1702608</v>
      </c>
      <c r="B286">
        <v>245</v>
      </c>
      <c r="C286" t="s">
        <v>32</v>
      </c>
      <c r="D286" s="1">
        <v>42456.021527777775</v>
      </c>
      <c r="E286" t="s">
        <v>47</v>
      </c>
      <c r="F286" t="s">
        <v>48</v>
      </c>
      <c r="G286">
        <v>-122.31814</v>
      </c>
      <c r="H286">
        <v>47.614094000000001</v>
      </c>
      <c r="I286" t="s">
        <v>112</v>
      </c>
      <c r="J286">
        <f t="shared" si="4"/>
        <v>2</v>
      </c>
      <c r="K286">
        <v>2</v>
      </c>
    </row>
    <row r="287" spans="1:11" x14ac:dyDescent="0.25">
      <c r="A287">
        <v>1702609</v>
      </c>
      <c r="B287">
        <v>200</v>
      </c>
      <c r="C287" t="s">
        <v>187</v>
      </c>
      <c r="D287" s="1">
        <v>42456.042361111111</v>
      </c>
      <c r="E287" t="s">
        <v>52</v>
      </c>
      <c r="F287" t="s">
        <v>120</v>
      </c>
      <c r="G287">
        <v>-122.37141</v>
      </c>
      <c r="H287">
        <v>47.695160000000001</v>
      </c>
      <c r="I287" t="s">
        <v>396</v>
      </c>
      <c r="J287">
        <f t="shared" si="4"/>
        <v>1</v>
      </c>
      <c r="K287">
        <v>2</v>
      </c>
    </row>
    <row r="288" spans="1:11" x14ac:dyDescent="0.25">
      <c r="A288">
        <v>1702610</v>
      </c>
      <c r="B288">
        <v>245</v>
      </c>
      <c r="C288" t="s">
        <v>32</v>
      </c>
      <c r="D288" s="1">
        <v>42456.043749999997</v>
      </c>
      <c r="E288" t="s">
        <v>40</v>
      </c>
      <c r="F288" t="s">
        <v>151</v>
      </c>
      <c r="G288">
        <v>-122.289604</v>
      </c>
      <c r="H288">
        <v>47.620148</v>
      </c>
      <c r="I288" t="s">
        <v>397</v>
      </c>
      <c r="J288">
        <f t="shared" si="4"/>
        <v>1</v>
      </c>
      <c r="K288">
        <v>2</v>
      </c>
    </row>
    <row r="289" spans="1:11" x14ac:dyDescent="0.25">
      <c r="A289">
        <v>1702611</v>
      </c>
      <c r="B289">
        <v>64</v>
      </c>
      <c r="C289" t="s">
        <v>158</v>
      </c>
      <c r="D289" s="1">
        <v>42456.042361111111</v>
      </c>
      <c r="E289" t="s">
        <v>78</v>
      </c>
      <c r="F289" t="s">
        <v>113</v>
      </c>
      <c r="G289">
        <v>-122.36969000000001</v>
      </c>
      <c r="H289">
        <v>47.661470000000001</v>
      </c>
      <c r="I289" t="s">
        <v>398</v>
      </c>
      <c r="J289">
        <f t="shared" si="4"/>
        <v>1</v>
      </c>
      <c r="K289">
        <v>4</v>
      </c>
    </row>
    <row r="290" spans="1:11" x14ac:dyDescent="0.25">
      <c r="A290">
        <v>1702612</v>
      </c>
      <c r="B290">
        <v>65</v>
      </c>
      <c r="C290" t="s">
        <v>39</v>
      </c>
      <c r="D290" s="1">
        <v>42456.041666666664</v>
      </c>
      <c r="E290" t="s">
        <v>47</v>
      </c>
      <c r="F290" t="s">
        <v>177</v>
      </c>
      <c r="G290">
        <v>-122.32811</v>
      </c>
      <c r="H290">
        <v>47.61007</v>
      </c>
      <c r="I290" t="s">
        <v>399</v>
      </c>
      <c r="J290">
        <f t="shared" si="4"/>
        <v>1</v>
      </c>
      <c r="K290">
        <v>4</v>
      </c>
    </row>
    <row r="291" spans="1:11" x14ac:dyDescent="0.25">
      <c r="A291">
        <v>1702613</v>
      </c>
      <c r="B291">
        <v>245</v>
      </c>
      <c r="C291" t="s">
        <v>32</v>
      </c>
      <c r="D291" s="1">
        <v>42456.043055555558</v>
      </c>
      <c r="E291" t="s">
        <v>47</v>
      </c>
      <c r="F291" t="s">
        <v>48</v>
      </c>
      <c r="G291">
        <v>-122.32077</v>
      </c>
      <c r="H291">
        <v>47.613517999999999</v>
      </c>
      <c r="I291" t="s">
        <v>170</v>
      </c>
      <c r="J291">
        <f t="shared" si="4"/>
        <v>3</v>
      </c>
      <c r="K291">
        <v>3</v>
      </c>
    </row>
    <row r="292" spans="1:11" x14ac:dyDescent="0.25">
      <c r="A292">
        <v>1702614</v>
      </c>
      <c r="B292">
        <v>130</v>
      </c>
      <c r="C292" t="s">
        <v>248</v>
      </c>
      <c r="D292" s="1">
        <v>42456.053472222222</v>
      </c>
      <c r="E292" t="s">
        <v>11</v>
      </c>
      <c r="F292" t="s">
        <v>245</v>
      </c>
      <c r="G292">
        <v>-122.310745</v>
      </c>
      <c r="H292">
        <v>47.576419999999999</v>
      </c>
      <c r="I292" t="s">
        <v>400</v>
      </c>
      <c r="J292">
        <f t="shared" si="4"/>
        <v>1</v>
      </c>
      <c r="K292">
        <v>1</v>
      </c>
    </row>
    <row r="293" spans="1:11" x14ac:dyDescent="0.25">
      <c r="A293">
        <v>1702615</v>
      </c>
      <c r="B293">
        <v>245</v>
      </c>
      <c r="C293" t="s">
        <v>32</v>
      </c>
      <c r="D293" s="1">
        <v>42456.052083333336</v>
      </c>
      <c r="E293" t="s">
        <v>145</v>
      </c>
      <c r="F293" t="s">
        <v>314</v>
      </c>
      <c r="G293">
        <v>-122.35824599999999</v>
      </c>
      <c r="H293">
        <v>47.726196000000002</v>
      </c>
      <c r="I293" t="s">
        <v>401</v>
      </c>
      <c r="J293">
        <f t="shared" si="4"/>
        <v>1</v>
      </c>
      <c r="K293">
        <v>3</v>
      </c>
    </row>
    <row r="294" spans="1:11" x14ac:dyDescent="0.25">
      <c r="A294">
        <v>1702617</v>
      </c>
      <c r="B294">
        <v>177</v>
      </c>
      <c r="C294" t="s">
        <v>61</v>
      </c>
      <c r="D294" s="1">
        <v>42456.056944444441</v>
      </c>
      <c r="E294" t="s">
        <v>81</v>
      </c>
      <c r="F294" t="s">
        <v>135</v>
      </c>
      <c r="G294">
        <v>-122.34586</v>
      </c>
      <c r="H294">
        <v>47.612990000000003</v>
      </c>
      <c r="I294" t="s">
        <v>313</v>
      </c>
      <c r="J294">
        <f t="shared" si="4"/>
        <v>3</v>
      </c>
      <c r="K294">
        <v>1</v>
      </c>
    </row>
    <row r="295" spans="1:11" x14ac:dyDescent="0.25">
      <c r="A295">
        <v>1702618</v>
      </c>
      <c r="B295">
        <v>250</v>
      </c>
      <c r="C295" t="s">
        <v>59</v>
      </c>
      <c r="D295" s="1">
        <v>42456.065972222219</v>
      </c>
      <c r="E295" t="s">
        <v>23</v>
      </c>
      <c r="F295" t="s">
        <v>88</v>
      </c>
      <c r="G295">
        <v>-122.35414</v>
      </c>
      <c r="H295">
        <v>47.619762000000001</v>
      </c>
      <c r="I295" t="s">
        <v>402</v>
      </c>
      <c r="J295">
        <f t="shared" si="4"/>
        <v>1</v>
      </c>
      <c r="K295">
        <v>2</v>
      </c>
    </row>
    <row r="296" spans="1:11" x14ac:dyDescent="0.25">
      <c r="A296">
        <v>1702619</v>
      </c>
      <c r="B296">
        <v>161</v>
      </c>
      <c r="C296" t="s">
        <v>35</v>
      </c>
      <c r="D296" s="1">
        <v>42456.060416666667</v>
      </c>
      <c r="E296" t="s">
        <v>71</v>
      </c>
      <c r="F296" t="s">
        <v>110</v>
      </c>
      <c r="G296">
        <v>-122.31728</v>
      </c>
      <c r="H296">
        <v>47.592686</v>
      </c>
      <c r="I296" t="s">
        <v>403</v>
      </c>
      <c r="J296">
        <f t="shared" si="4"/>
        <v>2</v>
      </c>
      <c r="K296">
        <v>0</v>
      </c>
    </row>
    <row r="297" spans="1:11" x14ac:dyDescent="0.25">
      <c r="A297">
        <v>1702620</v>
      </c>
      <c r="B297">
        <v>161</v>
      </c>
      <c r="C297" t="s">
        <v>35</v>
      </c>
      <c r="D297" s="1">
        <v>42456.05972222222</v>
      </c>
      <c r="E297" t="s">
        <v>81</v>
      </c>
      <c r="F297" t="s">
        <v>154</v>
      </c>
      <c r="G297">
        <v>-122.33427399999999</v>
      </c>
      <c r="H297">
        <v>47.622579999999999</v>
      </c>
      <c r="I297" t="s">
        <v>404</v>
      </c>
      <c r="J297">
        <f t="shared" si="4"/>
        <v>1</v>
      </c>
      <c r="K297">
        <v>3</v>
      </c>
    </row>
    <row r="298" spans="1:11" x14ac:dyDescent="0.25">
      <c r="A298">
        <v>1702621</v>
      </c>
      <c r="B298">
        <v>470</v>
      </c>
      <c r="C298" t="s">
        <v>14</v>
      </c>
      <c r="D298" s="1">
        <v>42456.061805555553</v>
      </c>
      <c r="E298" t="s">
        <v>47</v>
      </c>
      <c r="F298" t="s">
        <v>48</v>
      </c>
      <c r="G298">
        <v>-122.31815</v>
      </c>
      <c r="H298">
        <v>47.614674000000001</v>
      </c>
      <c r="I298" t="s">
        <v>405</v>
      </c>
      <c r="J298">
        <f t="shared" si="4"/>
        <v>1</v>
      </c>
      <c r="K298">
        <v>2</v>
      </c>
    </row>
    <row r="299" spans="1:11" x14ac:dyDescent="0.25">
      <c r="A299">
        <v>1702622</v>
      </c>
      <c r="B299">
        <v>74</v>
      </c>
      <c r="C299" t="s">
        <v>94</v>
      </c>
      <c r="D299" s="1">
        <v>42456.05972222222</v>
      </c>
      <c r="E299" t="s">
        <v>47</v>
      </c>
      <c r="F299" t="s">
        <v>48</v>
      </c>
      <c r="G299">
        <v>-122.32344000000001</v>
      </c>
      <c r="H299">
        <v>47.616363999999997</v>
      </c>
      <c r="I299" t="s">
        <v>406</v>
      </c>
      <c r="J299">
        <f t="shared" si="4"/>
        <v>1</v>
      </c>
      <c r="K299">
        <v>3</v>
      </c>
    </row>
    <row r="300" spans="1:11" x14ac:dyDescent="0.25">
      <c r="A300">
        <v>1702623</v>
      </c>
      <c r="B300">
        <v>31</v>
      </c>
      <c r="C300" t="s">
        <v>344</v>
      </c>
      <c r="D300" s="1">
        <v>42456.059027777781</v>
      </c>
      <c r="E300" t="s">
        <v>29</v>
      </c>
      <c r="F300" t="s">
        <v>156</v>
      </c>
      <c r="G300">
        <v>-122.29835</v>
      </c>
      <c r="H300">
        <v>47.544530000000002</v>
      </c>
      <c r="I300" t="s">
        <v>407</v>
      </c>
      <c r="J300">
        <f t="shared" si="4"/>
        <v>1</v>
      </c>
      <c r="K300">
        <v>1</v>
      </c>
    </row>
    <row r="301" spans="1:11" x14ac:dyDescent="0.25">
      <c r="A301">
        <v>1702624</v>
      </c>
      <c r="B301">
        <v>281</v>
      </c>
      <c r="C301" t="s">
        <v>26</v>
      </c>
      <c r="D301" s="1">
        <v>42456.063194444447</v>
      </c>
      <c r="E301" t="s">
        <v>11</v>
      </c>
      <c r="F301" t="s">
        <v>245</v>
      </c>
      <c r="G301">
        <v>-122.30177</v>
      </c>
      <c r="H301">
        <v>47.571120000000001</v>
      </c>
      <c r="I301" t="s">
        <v>408</v>
      </c>
      <c r="J301">
        <f t="shared" si="4"/>
        <v>1</v>
      </c>
      <c r="K301">
        <v>1</v>
      </c>
    </row>
    <row r="302" spans="1:11" x14ac:dyDescent="0.25">
      <c r="A302">
        <v>1702625</v>
      </c>
      <c r="B302">
        <v>281</v>
      </c>
      <c r="C302" t="s">
        <v>26</v>
      </c>
      <c r="D302" s="1">
        <v>42456.077777777777</v>
      </c>
      <c r="E302" t="s">
        <v>40</v>
      </c>
      <c r="F302" t="s">
        <v>41</v>
      </c>
      <c r="G302">
        <v>-122.31395999999999</v>
      </c>
      <c r="H302">
        <v>47.614117</v>
      </c>
      <c r="I302" t="s">
        <v>409</v>
      </c>
      <c r="J302">
        <f t="shared" si="4"/>
        <v>1</v>
      </c>
      <c r="K302">
        <v>2</v>
      </c>
    </row>
    <row r="303" spans="1:11" x14ac:dyDescent="0.25">
      <c r="A303">
        <v>1702626</v>
      </c>
      <c r="B303">
        <v>177</v>
      </c>
      <c r="C303" t="s">
        <v>61</v>
      </c>
      <c r="D303" s="1">
        <v>42456.072916666664</v>
      </c>
      <c r="E303" t="s">
        <v>81</v>
      </c>
      <c r="F303" t="s">
        <v>135</v>
      </c>
      <c r="G303">
        <v>-122.34782</v>
      </c>
      <c r="H303">
        <v>47.614142999999999</v>
      </c>
      <c r="I303" t="s">
        <v>410</v>
      </c>
      <c r="J303">
        <f t="shared" si="4"/>
        <v>1</v>
      </c>
      <c r="K303">
        <v>3</v>
      </c>
    </row>
    <row r="304" spans="1:11" x14ac:dyDescent="0.25">
      <c r="A304">
        <v>1702627</v>
      </c>
      <c r="B304">
        <v>460</v>
      </c>
      <c r="C304" t="s">
        <v>18</v>
      </c>
      <c r="D304" s="1">
        <v>42456.07916666667</v>
      </c>
      <c r="E304" t="s">
        <v>104</v>
      </c>
      <c r="F304" t="s">
        <v>181</v>
      </c>
      <c r="G304">
        <v>-122.35912</v>
      </c>
      <c r="H304">
        <v>47.524695999999999</v>
      </c>
      <c r="I304" t="s">
        <v>411</v>
      </c>
      <c r="J304">
        <f t="shared" si="4"/>
        <v>1</v>
      </c>
      <c r="K304">
        <v>2</v>
      </c>
    </row>
    <row r="305" spans="1:11" x14ac:dyDescent="0.25">
      <c r="A305">
        <v>1702628</v>
      </c>
      <c r="B305">
        <v>177</v>
      </c>
      <c r="C305" t="s">
        <v>61</v>
      </c>
      <c r="D305" s="1">
        <v>42456.069444444445</v>
      </c>
      <c r="E305" t="s">
        <v>43</v>
      </c>
      <c r="F305" t="s">
        <v>44</v>
      </c>
      <c r="G305">
        <v>-122.33081</v>
      </c>
      <c r="H305">
        <v>47.600464000000002</v>
      </c>
      <c r="I305" t="s">
        <v>45</v>
      </c>
      <c r="J305">
        <f t="shared" si="4"/>
        <v>17</v>
      </c>
      <c r="K305">
        <v>1</v>
      </c>
    </row>
    <row r="306" spans="1:11" x14ac:dyDescent="0.25">
      <c r="A306">
        <v>1702629</v>
      </c>
      <c r="B306">
        <v>245</v>
      </c>
      <c r="C306" t="s">
        <v>32</v>
      </c>
      <c r="D306" s="1">
        <v>42456.080555555556</v>
      </c>
      <c r="E306" t="s">
        <v>47</v>
      </c>
      <c r="F306" t="s">
        <v>48</v>
      </c>
      <c r="G306">
        <v>-122.31677999999999</v>
      </c>
      <c r="H306">
        <v>47.610976999999998</v>
      </c>
      <c r="I306" t="s">
        <v>412</v>
      </c>
      <c r="J306">
        <f t="shared" si="4"/>
        <v>1</v>
      </c>
      <c r="K306">
        <v>3</v>
      </c>
    </row>
    <row r="307" spans="1:11" x14ac:dyDescent="0.25">
      <c r="A307">
        <v>1702630</v>
      </c>
      <c r="B307">
        <v>245</v>
      </c>
      <c r="C307" t="s">
        <v>32</v>
      </c>
      <c r="D307" s="1">
        <v>42456.067361111112</v>
      </c>
      <c r="E307" t="s">
        <v>145</v>
      </c>
      <c r="F307" t="s">
        <v>146</v>
      </c>
      <c r="G307">
        <v>-122.34349</v>
      </c>
      <c r="H307">
        <v>47.694180000000003</v>
      </c>
      <c r="I307" t="s">
        <v>413</v>
      </c>
      <c r="J307">
        <f t="shared" si="4"/>
        <v>1</v>
      </c>
      <c r="K307">
        <v>2</v>
      </c>
    </row>
    <row r="308" spans="1:11" x14ac:dyDescent="0.25">
      <c r="A308">
        <v>1702631</v>
      </c>
      <c r="B308">
        <v>281</v>
      </c>
      <c r="C308" t="s">
        <v>26</v>
      </c>
      <c r="D308" s="1">
        <v>42456.073611111111</v>
      </c>
      <c r="E308" t="s">
        <v>71</v>
      </c>
      <c r="F308" t="s">
        <v>72</v>
      </c>
      <c r="G308">
        <v>-122.34008</v>
      </c>
      <c r="H308">
        <v>47.668106000000002</v>
      </c>
      <c r="I308" t="s">
        <v>414</v>
      </c>
      <c r="J308">
        <f t="shared" si="4"/>
        <v>1</v>
      </c>
      <c r="K308">
        <v>1</v>
      </c>
    </row>
    <row r="309" spans="1:11" x14ac:dyDescent="0.25">
      <c r="A309">
        <v>1702632</v>
      </c>
      <c r="B309">
        <v>181</v>
      </c>
      <c r="C309" t="s">
        <v>415</v>
      </c>
      <c r="D309" s="1">
        <v>42456.073611111111</v>
      </c>
      <c r="E309" t="s">
        <v>67</v>
      </c>
      <c r="F309" t="s">
        <v>68</v>
      </c>
      <c r="G309">
        <v>-122.34045999999999</v>
      </c>
      <c r="H309">
        <v>47.612732000000001</v>
      </c>
      <c r="I309" t="s">
        <v>416</v>
      </c>
      <c r="J309">
        <f t="shared" si="4"/>
        <v>1</v>
      </c>
      <c r="K309">
        <v>3</v>
      </c>
    </row>
    <row r="310" spans="1:11" x14ac:dyDescent="0.25">
      <c r="A310">
        <v>1702633</v>
      </c>
      <c r="B310">
        <v>244</v>
      </c>
      <c r="C310" t="s">
        <v>286</v>
      </c>
      <c r="D310" s="1">
        <v>42456.070833333331</v>
      </c>
      <c r="E310" t="s">
        <v>78</v>
      </c>
      <c r="F310" t="s">
        <v>79</v>
      </c>
      <c r="G310">
        <v>-122.37488999999999</v>
      </c>
      <c r="H310">
        <v>47.672359999999998</v>
      </c>
      <c r="I310" t="s">
        <v>417</v>
      </c>
      <c r="J310">
        <f t="shared" si="4"/>
        <v>1</v>
      </c>
      <c r="K310">
        <v>2</v>
      </c>
    </row>
    <row r="311" spans="1:11" x14ac:dyDescent="0.25">
      <c r="A311">
        <v>1702634</v>
      </c>
      <c r="B311">
        <v>244</v>
      </c>
      <c r="C311" t="s">
        <v>286</v>
      </c>
      <c r="D311" s="1">
        <v>42456.080555555556</v>
      </c>
      <c r="E311" t="s">
        <v>52</v>
      </c>
      <c r="F311" t="s">
        <v>232</v>
      </c>
      <c r="G311">
        <v>-122.36467</v>
      </c>
      <c r="H311">
        <v>47.682526000000003</v>
      </c>
      <c r="I311" t="s">
        <v>418</v>
      </c>
      <c r="J311">
        <f t="shared" si="4"/>
        <v>1</v>
      </c>
      <c r="K311">
        <v>1</v>
      </c>
    </row>
    <row r="312" spans="1:11" x14ac:dyDescent="0.25">
      <c r="A312">
        <v>1702635</v>
      </c>
      <c r="B312">
        <v>430</v>
      </c>
      <c r="C312" t="s">
        <v>70</v>
      </c>
      <c r="D312" s="1">
        <v>42456.070138888892</v>
      </c>
      <c r="E312" t="s">
        <v>40</v>
      </c>
      <c r="F312" t="s">
        <v>151</v>
      </c>
      <c r="G312">
        <v>-122.29609000000001</v>
      </c>
      <c r="H312">
        <v>47.620173999999999</v>
      </c>
      <c r="I312" t="s">
        <v>419</v>
      </c>
      <c r="J312">
        <f t="shared" si="4"/>
        <v>1</v>
      </c>
      <c r="K312">
        <v>2</v>
      </c>
    </row>
    <row r="313" spans="1:11" x14ac:dyDescent="0.25">
      <c r="A313">
        <v>1702636</v>
      </c>
      <c r="B313">
        <v>460</v>
      </c>
      <c r="C313" t="s">
        <v>18</v>
      </c>
      <c r="D313" s="1">
        <v>42456.092361111114</v>
      </c>
      <c r="E313" t="s">
        <v>23</v>
      </c>
      <c r="F313" t="s">
        <v>88</v>
      </c>
      <c r="G313">
        <v>-122.3548</v>
      </c>
      <c r="H313">
        <v>47.618600000000001</v>
      </c>
      <c r="I313" t="s">
        <v>420</v>
      </c>
      <c r="J313">
        <f t="shared" si="4"/>
        <v>1</v>
      </c>
      <c r="K313">
        <v>3</v>
      </c>
    </row>
    <row r="314" spans="1:11" x14ac:dyDescent="0.25">
      <c r="A314">
        <v>1702637</v>
      </c>
      <c r="B314">
        <v>177</v>
      </c>
      <c r="C314" t="s">
        <v>61</v>
      </c>
      <c r="D314" s="1">
        <v>42456.090277777781</v>
      </c>
      <c r="E314" t="s">
        <v>43</v>
      </c>
      <c r="F314" t="s">
        <v>44</v>
      </c>
      <c r="G314">
        <v>-122.33081</v>
      </c>
      <c r="H314">
        <v>47.600464000000002</v>
      </c>
      <c r="I314" t="s">
        <v>45</v>
      </c>
      <c r="J314">
        <f t="shared" si="4"/>
        <v>17</v>
      </c>
      <c r="K314">
        <v>3</v>
      </c>
    </row>
    <row r="315" spans="1:11" x14ac:dyDescent="0.25">
      <c r="A315">
        <v>1702638</v>
      </c>
      <c r="B315">
        <v>460</v>
      </c>
      <c r="C315" t="s">
        <v>18</v>
      </c>
      <c r="D315" s="1">
        <v>42456.086805555555</v>
      </c>
      <c r="E315" t="s">
        <v>78</v>
      </c>
      <c r="F315" t="s">
        <v>113</v>
      </c>
      <c r="G315">
        <v>-122.35136</v>
      </c>
      <c r="H315">
        <v>47.651479999999999</v>
      </c>
      <c r="I315" t="s">
        <v>421</v>
      </c>
      <c r="J315">
        <f t="shared" si="4"/>
        <v>1</v>
      </c>
      <c r="K315">
        <v>3</v>
      </c>
    </row>
    <row r="316" spans="1:11" x14ac:dyDescent="0.25">
      <c r="A316">
        <v>1702639</v>
      </c>
      <c r="B316">
        <v>245</v>
      </c>
      <c r="C316" t="s">
        <v>32</v>
      </c>
      <c r="D316" s="1">
        <v>42456.086111111108</v>
      </c>
      <c r="E316" t="s">
        <v>11</v>
      </c>
      <c r="F316" t="s">
        <v>12</v>
      </c>
      <c r="G316">
        <v>-122.28801</v>
      </c>
      <c r="H316">
        <v>47.563457</v>
      </c>
      <c r="I316" t="s">
        <v>371</v>
      </c>
      <c r="J316">
        <f t="shared" si="4"/>
        <v>2</v>
      </c>
      <c r="K316">
        <v>2</v>
      </c>
    </row>
    <row r="317" spans="1:11" x14ac:dyDescent="0.25">
      <c r="A317">
        <v>1702640</v>
      </c>
      <c r="B317">
        <v>177</v>
      </c>
      <c r="C317" t="s">
        <v>61</v>
      </c>
      <c r="D317" s="1">
        <v>42456.077777777777</v>
      </c>
      <c r="E317" t="s">
        <v>67</v>
      </c>
      <c r="F317" t="s">
        <v>100</v>
      </c>
      <c r="G317">
        <v>-122.34002</v>
      </c>
      <c r="H317">
        <v>47.608817999999999</v>
      </c>
      <c r="I317" t="s">
        <v>422</v>
      </c>
      <c r="J317">
        <f t="shared" si="4"/>
        <v>1</v>
      </c>
      <c r="K317">
        <v>1</v>
      </c>
    </row>
    <row r="318" spans="1:11" x14ac:dyDescent="0.25">
      <c r="A318">
        <v>1702641</v>
      </c>
      <c r="B318">
        <v>280</v>
      </c>
      <c r="C318" t="s">
        <v>22</v>
      </c>
      <c r="D318" s="1">
        <v>42456.078472222223</v>
      </c>
      <c r="E318" t="s">
        <v>145</v>
      </c>
      <c r="F318" t="s">
        <v>146</v>
      </c>
      <c r="G318">
        <v>-122.343315</v>
      </c>
      <c r="H318">
        <v>47.704143999999999</v>
      </c>
      <c r="I318" t="s">
        <v>423</v>
      </c>
      <c r="J318">
        <f t="shared" si="4"/>
        <v>1</v>
      </c>
      <c r="K318">
        <v>3</v>
      </c>
    </row>
    <row r="319" spans="1:11" x14ac:dyDescent="0.25">
      <c r="A319">
        <v>1702642</v>
      </c>
      <c r="B319">
        <v>244</v>
      </c>
      <c r="C319" t="s">
        <v>286</v>
      </c>
      <c r="D319" s="1">
        <v>42456.085416666669</v>
      </c>
      <c r="E319" t="s">
        <v>104</v>
      </c>
      <c r="F319" t="s">
        <v>181</v>
      </c>
      <c r="G319">
        <v>-122.36044</v>
      </c>
      <c r="H319">
        <v>47.530974999999998</v>
      </c>
      <c r="I319" t="s">
        <v>424</v>
      </c>
      <c r="J319">
        <f t="shared" si="4"/>
        <v>1</v>
      </c>
      <c r="K319">
        <v>0</v>
      </c>
    </row>
    <row r="320" spans="1:11" x14ac:dyDescent="0.25">
      <c r="A320">
        <v>1702643</v>
      </c>
      <c r="B320">
        <v>245</v>
      </c>
      <c r="C320" t="s">
        <v>32</v>
      </c>
      <c r="D320" s="1">
        <v>42456.078472222223</v>
      </c>
      <c r="E320" t="s">
        <v>145</v>
      </c>
      <c r="F320" t="s">
        <v>146</v>
      </c>
      <c r="G320">
        <v>-122.34456</v>
      </c>
      <c r="H320">
        <v>47.693824999999997</v>
      </c>
      <c r="I320" t="s">
        <v>425</v>
      </c>
      <c r="J320">
        <f t="shared" si="4"/>
        <v>2</v>
      </c>
      <c r="K320">
        <v>3</v>
      </c>
    </row>
    <row r="321" spans="1:11" x14ac:dyDescent="0.25">
      <c r="A321">
        <v>1702644</v>
      </c>
      <c r="B321">
        <v>100</v>
      </c>
      <c r="C321" t="s">
        <v>122</v>
      </c>
      <c r="D321" s="1">
        <v>42456.088194444441</v>
      </c>
      <c r="E321" t="s">
        <v>71</v>
      </c>
      <c r="F321" t="s">
        <v>110</v>
      </c>
      <c r="G321">
        <v>-122.36935</v>
      </c>
      <c r="H321">
        <v>47.521037999999997</v>
      </c>
      <c r="I321" t="s">
        <v>426</v>
      </c>
      <c r="J321">
        <f t="shared" si="4"/>
        <v>1</v>
      </c>
      <c r="K321">
        <v>1</v>
      </c>
    </row>
    <row r="322" spans="1:11" x14ac:dyDescent="0.25">
      <c r="A322">
        <v>1702645</v>
      </c>
      <c r="B322">
        <v>177</v>
      </c>
      <c r="C322" t="s">
        <v>61</v>
      </c>
      <c r="D322" s="1">
        <v>42456.09375</v>
      </c>
      <c r="E322" t="s">
        <v>64</v>
      </c>
      <c r="F322" t="s">
        <v>215</v>
      </c>
      <c r="G322">
        <v>-122.38651</v>
      </c>
      <c r="H322">
        <v>47.582096</v>
      </c>
      <c r="I322" t="s">
        <v>427</v>
      </c>
      <c r="J322">
        <f t="shared" ref="J322:J385" si="5">COUNTIF($I$2:$I$1046,I322)</f>
        <v>1</v>
      </c>
      <c r="K322">
        <v>0</v>
      </c>
    </row>
    <row r="323" spans="1:11" x14ac:dyDescent="0.25">
      <c r="A323">
        <v>1702646</v>
      </c>
      <c r="B323">
        <v>460</v>
      </c>
      <c r="C323" t="s">
        <v>18</v>
      </c>
      <c r="D323" s="1">
        <v>42456.1</v>
      </c>
      <c r="E323" t="s">
        <v>29</v>
      </c>
      <c r="F323" t="s">
        <v>55</v>
      </c>
      <c r="G323">
        <v>-122.27027</v>
      </c>
      <c r="H323">
        <v>47.536957000000001</v>
      </c>
      <c r="I323" t="s">
        <v>428</v>
      </c>
      <c r="J323">
        <f t="shared" si="5"/>
        <v>1</v>
      </c>
      <c r="K323">
        <v>2</v>
      </c>
    </row>
    <row r="324" spans="1:11" x14ac:dyDescent="0.25">
      <c r="A324">
        <v>1702647</v>
      </c>
      <c r="B324">
        <v>245</v>
      </c>
      <c r="C324" t="s">
        <v>32</v>
      </c>
      <c r="D324" s="1">
        <v>42456.097916666666</v>
      </c>
      <c r="E324" t="s">
        <v>71</v>
      </c>
      <c r="F324" t="s">
        <v>126</v>
      </c>
      <c r="G324">
        <v>-122.32735</v>
      </c>
      <c r="H324">
        <v>47.614089999999997</v>
      </c>
      <c r="I324" t="s">
        <v>429</v>
      </c>
      <c r="J324">
        <f t="shared" si="5"/>
        <v>1</v>
      </c>
      <c r="K324">
        <v>2</v>
      </c>
    </row>
    <row r="325" spans="1:11" x14ac:dyDescent="0.25">
      <c r="A325">
        <v>1702648</v>
      </c>
      <c r="B325">
        <v>440</v>
      </c>
      <c r="C325" t="s">
        <v>334</v>
      </c>
      <c r="D325" s="1">
        <v>42456.102777777778</v>
      </c>
      <c r="E325" t="s">
        <v>78</v>
      </c>
      <c r="F325" t="s">
        <v>85</v>
      </c>
      <c r="G325">
        <v>-122.32776</v>
      </c>
      <c r="H325">
        <v>47.661358</v>
      </c>
      <c r="I325" t="s">
        <v>430</v>
      </c>
      <c r="J325">
        <f t="shared" si="5"/>
        <v>1</v>
      </c>
      <c r="K325">
        <v>1</v>
      </c>
    </row>
    <row r="326" spans="1:11" x14ac:dyDescent="0.25">
      <c r="A326">
        <v>1702649</v>
      </c>
      <c r="B326">
        <v>280</v>
      </c>
      <c r="C326" t="s">
        <v>22</v>
      </c>
      <c r="D326" s="1">
        <v>42456.098611111112</v>
      </c>
      <c r="E326" t="s">
        <v>19</v>
      </c>
      <c r="F326" t="s">
        <v>20</v>
      </c>
      <c r="G326">
        <v>-122.33420599999999</v>
      </c>
      <c r="H326">
        <v>47.575577000000003</v>
      </c>
      <c r="I326" t="s">
        <v>431</v>
      </c>
      <c r="J326">
        <f t="shared" si="5"/>
        <v>2</v>
      </c>
      <c r="K326">
        <v>3</v>
      </c>
    </row>
    <row r="327" spans="1:11" x14ac:dyDescent="0.25">
      <c r="A327">
        <v>1702650</v>
      </c>
      <c r="B327">
        <v>460</v>
      </c>
      <c r="C327" t="s">
        <v>18</v>
      </c>
      <c r="D327" s="1">
        <v>42456.113888888889</v>
      </c>
      <c r="E327" t="s">
        <v>47</v>
      </c>
      <c r="F327" t="s">
        <v>48</v>
      </c>
      <c r="G327">
        <v>-122.320854</v>
      </c>
      <c r="H327">
        <v>47.618735999999998</v>
      </c>
      <c r="I327" t="s">
        <v>432</v>
      </c>
      <c r="J327">
        <f t="shared" si="5"/>
        <v>1</v>
      </c>
      <c r="K327">
        <v>3</v>
      </c>
    </row>
    <row r="328" spans="1:11" x14ac:dyDescent="0.25">
      <c r="A328">
        <v>1702651</v>
      </c>
      <c r="B328">
        <v>242</v>
      </c>
      <c r="C328" t="s">
        <v>10</v>
      </c>
      <c r="D328" s="1">
        <v>42456.115277777775</v>
      </c>
      <c r="E328" t="s">
        <v>43</v>
      </c>
      <c r="F328" t="s">
        <v>218</v>
      </c>
      <c r="G328">
        <v>-122.331085</v>
      </c>
      <c r="H328">
        <v>47.602412999999999</v>
      </c>
      <c r="I328" t="s">
        <v>433</v>
      </c>
      <c r="J328">
        <f t="shared" si="5"/>
        <v>8</v>
      </c>
      <c r="K328">
        <v>1</v>
      </c>
    </row>
    <row r="329" spans="1:11" x14ac:dyDescent="0.25">
      <c r="A329">
        <v>1702652</v>
      </c>
      <c r="B329">
        <v>460</v>
      </c>
      <c r="C329" t="s">
        <v>18</v>
      </c>
      <c r="D329" s="1">
        <v>42456.107638888891</v>
      </c>
      <c r="E329" t="s">
        <v>29</v>
      </c>
      <c r="F329" t="s">
        <v>55</v>
      </c>
      <c r="G329">
        <v>-122.27898399999999</v>
      </c>
      <c r="H329">
        <v>47.523269999999997</v>
      </c>
      <c r="I329" t="s">
        <v>434</v>
      </c>
      <c r="J329">
        <f t="shared" si="5"/>
        <v>1</v>
      </c>
      <c r="K329">
        <v>3</v>
      </c>
    </row>
    <row r="330" spans="1:11" x14ac:dyDescent="0.25">
      <c r="A330">
        <v>1702653</v>
      </c>
      <c r="B330">
        <v>460</v>
      </c>
      <c r="C330" t="s">
        <v>18</v>
      </c>
      <c r="D330" s="1">
        <v>42456.109722222223</v>
      </c>
      <c r="E330" t="s">
        <v>19</v>
      </c>
      <c r="F330" t="s">
        <v>20</v>
      </c>
      <c r="G330">
        <v>-122.3342</v>
      </c>
      <c r="H330">
        <v>47.588225999999999</v>
      </c>
      <c r="I330" t="s">
        <v>435</v>
      </c>
      <c r="J330">
        <f t="shared" si="5"/>
        <v>1</v>
      </c>
      <c r="K330">
        <v>4</v>
      </c>
    </row>
    <row r="331" spans="1:11" x14ac:dyDescent="0.25">
      <c r="A331">
        <v>1702654</v>
      </c>
      <c r="B331">
        <v>245</v>
      </c>
      <c r="C331" t="s">
        <v>32</v>
      </c>
      <c r="D331" s="1">
        <v>42456.105555555558</v>
      </c>
      <c r="E331" t="s">
        <v>104</v>
      </c>
      <c r="F331" t="s">
        <v>105</v>
      </c>
      <c r="G331">
        <v>-122.322914</v>
      </c>
      <c r="H331">
        <v>47.526463</v>
      </c>
      <c r="I331" t="s">
        <v>436</v>
      </c>
      <c r="J331">
        <f t="shared" si="5"/>
        <v>1</v>
      </c>
      <c r="K331">
        <v>4</v>
      </c>
    </row>
    <row r="332" spans="1:11" x14ac:dyDescent="0.25">
      <c r="A332">
        <v>1702655</v>
      </c>
      <c r="B332">
        <v>245</v>
      </c>
      <c r="C332" t="s">
        <v>32</v>
      </c>
      <c r="D332" s="1">
        <v>42456.111805555556</v>
      </c>
      <c r="E332" t="s">
        <v>81</v>
      </c>
      <c r="F332" t="s">
        <v>154</v>
      </c>
      <c r="G332">
        <v>-122.33337</v>
      </c>
      <c r="H332">
        <v>47.617330000000003</v>
      </c>
      <c r="I332" t="s">
        <v>437</v>
      </c>
      <c r="J332">
        <f t="shared" si="5"/>
        <v>3</v>
      </c>
      <c r="K332">
        <v>3</v>
      </c>
    </row>
    <row r="333" spans="1:11" x14ac:dyDescent="0.25">
      <c r="A333">
        <v>1702656</v>
      </c>
      <c r="B333">
        <v>130</v>
      </c>
      <c r="C333" t="s">
        <v>248</v>
      </c>
      <c r="D333" s="1">
        <v>42456.111805555556</v>
      </c>
      <c r="E333" t="s">
        <v>71</v>
      </c>
      <c r="F333" t="s">
        <v>110</v>
      </c>
      <c r="G333">
        <v>-122.345215</v>
      </c>
      <c r="H333">
        <v>47.612606</v>
      </c>
      <c r="I333" t="s">
        <v>438</v>
      </c>
      <c r="J333">
        <f t="shared" si="5"/>
        <v>2</v>
      </c>
      <c r="K333">
        <v>1</v>
      </c>
    </row>
    <row r="334" spans="1:11" x14ac:dyDescent="0.25">
      <c r="A334">
        <v>1702657</v>
      </c>
      <c r="B334">
        <v>64</v>
      </c>
      <c r="C334" t="s">
        <v>158</v>
      </c>
      <c r="D334" s="1">
        <v>42456.107638888891</v>
      </c>
      <c r="E334" t="s">
        <v>130</v>
      </c>
      <c r="F334" t="s">
        <v>131</v>
      </c>
      <c r="G334">
        <v>-122.30293</v>
      </c>
      <c r="H334">
        <v>47.700719999999997</v>
      </c>
      <c r="I334" t="s">
        <v>439</v>
      </c>
      <c r="J334">
        <f t="shared" si="5"/>
        <v>1</v>
      </c>
      <c r="K334">
        <v>3</v>
      </c>
    </row>
    <row r="335" spans="1:11" x14ac:dyDescent="0.25">
      <c r="A335">
        <v>1702658</v>
      </c>
      <c r="B335">
        <v>161</v>
      </c>
      <c r="C335" t="s">
        <v>35</v>
      </c>
      <c r="D335" s="1">
        <v>42456.121527777781</v>
      </c>
      <c r="E335" t="s">
        <v>145</v>
      </c>
      <c r="F335" t="s">
        <v>314</v>
      </c>
      <c r="G335">
        <v>-122.36273</v>
      </c>
      <c r="H335">
        <v>47.701393000000003</v>
      </c>
      <c r="I335" t="s">
        <v>440</v>
      </c>
      <c r="J335">
        <f t="shared" si="5"/>
        <v>5</v>
      </c>
      <c r="K335">
        <v>3</v>
      </c>
    </row>
    <row r="336" spans="1:11" x14ac:dyDescent="0.25">
      <c r="A336">
        <v>1702659</v>
      </c>
      <c r="B336">
        <v>201</v>
      </c>
      <c r="C336" t="s">
        <v>36</v>
      </c>
      <c r="D336" s="1">
        <v>42456.114583333336</v>
      </c>
      <c r="E336" t="s">
        <v>145</v>
      </c>
      <c r="F336" t="s">
        <v>314</v>
      </c>
      <c r="G336">
        <v>-122.376755</v>
      </c>
      <c r="H336">
        <v>47.704279999999997</v>
      </c>
      <c r="I336" t="s">
        <v>441</v>
      </c>
      <c r="J336">
        <f t="shared" si="5"/>
        <v>2</v>
      </c>
      <c r="K336">
        <v>4</v>
      </c>
    </row>
    <row r="337" spans="1:11" x14ac:dyDescent="0.25">
      <c r="A337">
        <v>1702660</v>
      </c>
      <c r="B337">
        <v>244</v>
      </c>
      <c r="C337" t="s">
        <v>286</v>
      </c>
      <c r="D337" s="1">
        <v>42456.119444444441</v>
      </c>
      <c r="E337" t="s">
        <v>47</v>
      </c>
      <c r="F337" t="s">
        <v>48</v>
      </c>
      <c r="G337">
        <v>-122.32216</v>
      </c>
      <c r="H337">
        <v>47.616978000000003</v>
      </c>
      <c r="I337" t="s">
        <v>442</v>
      </c>
      <c r="J337">
        <f t="shared" si="5"/>
        <v>1</v>
      </c>
      <c r="K337">
        <v>3</v>
      </c>
    </row>
    <row r="338" spans="1:11" x14ac:dyDescent="0.25">
      <c r="A338">
        <v>1702661</v>
      </c>
      <c r="B338">
        <v>430</v>
      </c>
      <c r="C338" t="s">
        <v>70</v>
      </c>
      <c r="D338" s="1">
        <v>42456.119444444441</v>
      </c>
      <c r="E338" t="s">
        <v>81</v>
      </c>
      <c r="F338" t="s">
        <v>135</v>
      </c>
      <c r="G338">
        <v>-122.34868</v>
      </c>
      <c r="H338">
        <v>47.613480000000003</v>
      </c>
      <c r="I338" t="s">
        <v>443</v>
      </c>
      <c r="J338">
        <f t="shared" si="5"/>
        <v>1</v>
      </c>
      <c r="K338">
        <v>1</v>
      </c>
    </row>
    <row r="339" spans="1:11" x14ac:dyDescent="0.25">
      <c r="A339">
        <v>1702662</v>
      </c>
      <c r="B339">
        <v>65</v>
      </c>
      <c r="C339" t="s">
        <v>39</v>
      </c>
      <c r="D339" s="1">
        <v>42455.979861111111</v>
      </c>
      <c r="E339" t="s">
        <v>67</v>
      </c>
      <c r="F339" t="s">
        <v>68</v>
      </c>
      <c r="G339">
        <v>-122.33144</v>
      </c>
      <c r="H339">
        <v>47.611710000000002</v>
      </c>
      <c r="I339" t="s">
        <v>220</v>
      </c>
      <c r="J339">
        <f t="shared" si="5"/>
        <v>2</v>
      </c>
      <c r="K339">
        <v>2</v>
      </c>
    </row>
    <row r="340" spans="1:11" x14ac:dyDescent="0.25">
      <c r="A340">
        <v>1702663</v>
      </c>
      <c r="B340">
        <v>201</v>
      </c>
      <c r="C340" t="s">
        <v>36</v>
      </c>
      <c r="D340" s="1">
        <v>42456.129861111112</v>
      </c>
      <c r="E340" t="s">
        <v>64</v>
      </c>
      <c r="F340" t="s">
        <v>215</v>
      </c>
      <c r="G340">
        <v>-122.38529</v>
      </c>
      <c r="H340">
        <v>47.587240000000001</v>
      </c>
      <c r="I340" t="s">
        <v>444</v>
      </c>
      <c r="J340">
        <f t="shared" si="5"/>
        <v>1</v>
      </c>
      <c r="K340">
        <v>1</v>
      </c>
    </row>
    <row r="341" spans="1:11" x14ac:dyDescent="0.25">
      <c r="A341">
        <v>1702664</v>
      </c>
      <c r="B341">
        <v>245</v>
      </c>
      <c r="C341" t="s">
        <v>32</v>
      </c>
      <c r="D341" s="1">
        <v>42456.12777777778</v>
      </c>
      <c r="E341" t="s">
        <v>43</v>
      </c>
      <c r="F341" t="s">
        <v>218</v>
      </c>
      <c r="G341">
        <v>-122.331085</v>
      </c>
      <c r="H341">
        <v>47.602412999999999</v>
      </c>
      <c r="I341" t="s">
        <v>433</v>
      </c>
      <c r="J341">
        <f t="shared" si="5"/>
        <v>8</v>
      </c>
      <c r="K341">
        <v>4</v>
      </c>
    </row>
    <row r="342" spans="1:11" x14ac:dyDescent="0.25">
      <c r="A342">
        <v>1702665</v>
      </c>
      <c r="B342">
        <v>245</v>
      </c>
      <c r="C342" t="s">
        <v>32</v>
      </c>
      <c r="D342" s="1">
        <v>42456.125694444447</v>
      </c>
      <c r="E342" t="s">
        <v>95</v>
      </c>
      <c r="F342" t="s">
        <v>367</v>
      </c>
      <c r="G342">
        <v>-122.31737</v>
      </c>
      <c r="H342">
        <v>47.668574999999997</v>
      </c>
      <c r="I342" t="s">
        <v>445</v>
      </c>
      <c r="J342">
        <f t="shared" si="5"/>
        <v>1</v>
      </c>
      <c r="K342">
        <v>2</v>
      </c>
    </row>
    <row r="343" spans="1:11" x14ac:dyDescent="0.25">
      <c r="A343">
        <v>1702666</v>
      </c>
      <c r="B343">
        <v>245</v>
      </c>
      <c r="C343" t="s">
        <v>32</v>
      </c>
      <c r="D343" s="1">
        <v>42456.140277777777</v>
      </c>
      <c r="E343" t="s">
        <v>67</v>
      </c>
      <c r="F343" t="s">
        <v>68</v>
      </c>
      <c r="G343">
        <v>-122.33759000000001</v>
      </c>
      <c r="H343">
        <v>47.611206000000003</v>
      </c>
      <c r="I343" t="s">
        <v>196</v>
      </c>
      <c r="J343">
        <f t="shared" si="5"/>
        <v>5</v>
      </c>
      <c r="K343">
        <v>4</v>
      </c>
    </row>
    <row r="344" spans="1:11" x14ac:dyDescent="0.25">
      <c r="A344">
        <v>1702667</v>
      </c>
      <c r="B344">
        <v>460</v>
      </c>
      <c r="C344" t="s">
        <v>18</v>
      </c>
      <c r="D344" s="1">
        <v>42456.137499999997</v>
      </c>
      <c r="E344" t="s">
        <v>19</v>
      </c>
      <c r="F344" t="s">
        <v>50</v>
      </c>
      <c r="G344">
        <v>-122.33944</v>
      </c>
      <c r="H344">
        <v>47.565773</v>
      </c>
      <c r="I344" t="s">
        <v>446</v>
      </c>
      <c r="J344">
        <f t="shared" si="5"/>
        <v>1</v>
      </c>
      <c r="K344">
        <v>4</v>
      </c>
    </row>
    <row r="345" spans="1:11" x14ac:dyDescent="0.25">
      <c r="A345">
        <v>1702668</v>
      </c>
      <c r="B345">
        <v>460</v>
      </c>
      <c r="C345" t="s">
        <v>18</v>
      </c>
      <c r="D345" s="1">
        <v>42456.137499999997</v>
      </c>
      <c r="E345" t="s">
        <v>19</v>
      </c>
      <c r="F345" t="s">
        <v>20</v>
      </c>
      <c r="G345">
        <v>-122.33420599999999</v>
      </c>
      <c r="H345">
        <v>47.574979999999996</v>
      </c>
      <c r="I345" t="s">
        <v>447</v>
      </c>
      <c r="J345">
        <f t="shared" si="5"/>
        <v>1</v>
      </c>
      <c r="K345">
        <v>3</v>
      </c>
    </row>
    <row r="346" spans="1:11" x14ac:dyDescent="0.25">
      <c r="A346">
        <v>1702669</v>
      </c>
      <c r="B346">
        <v>220</v>
      </c>
      <c r="C346" t="s">
        <v>173</v>
      </c>
      <c r="D346" s="1">
        <v>42456.132638888892</v>
      </c>
      <c r="E346" t="s">
        <v>78</v>
      </c>
      <c r="F346" t="s">
        <v>79</v>
      </c>
      <c r="G346">
        <v>-122.37632000000001</v>
      </c>
      <c r="H346">
        <v>47.663662000000002</v>
      </c>
      <c r="I346" t="s">
        <v>448</v>
      </c>
      <c r="J346">
        <f t="shared" si="5"/>
        <v>1</v>
      </c>
      <c r="K346">
        <v>2</v>
      </c>
    </row>
    <row r="347" spans="1:11" x14ac:dyDescent="0.25">
      <c r="A347">
        <v>1702670</v>
      </c>
      <c r="B347">
        <v>40</v>
      </c>
      <c r="C347" t="s">
        <v>119</v>
      </c>
      <c r="D347" s="1">
        <v>42456.137499999997</v>
      </c>
      <c r="E347" t="s">
        <v>43</v>
      </c>
      <c r="F347" t="s">
        <v>218</v>
      </c>
      <c r="G347">
        <v>-122.33287</v>
      </c>
      <c r="H347">
        <v>47.60172</v>
      </c>
      <c r="I347" t="s">
        <v>449</v>
      </c>
      <c r="J347">
        <f t="shared" si="5"/>
        <v>2</v>
      </c>
      <c r="K347">
        <v>2</v>
      </c>
    </row>
    <row r="348" spans="1:11" x14ac:dyDescent="0.25">
      <c r="A348">
        <v>1702671</v>
      </c>
      <c r="B348">
        <v>460</v>
      </c>
      <c r="C348" t="s">
        <v>18</v>
      </c>
      <c r="D348" s="1">
        <v>42456.143055555556</v>
      </c>
      <c r="E348" t="s">
        <v>67</v>
      </c>
      <c r="F348" t="s">
        <v>100</v>
      </c>
      <c r="G348">
        <v>-122.34045399999999</v>
      </c>
      <c r="H348">
        <v>47.610962000000001</v>
      </c>
      <c r="I348" t="s">
        <v>450</v>
      </c>
      <c r="J348">
        <f t="shared" si="5"/>
        <v>2</v>
      </c>
      <c r="K348">
        <v>0</v>
      </c>
    </row>
    <row r="349" spans="1:11" x14ac:dyDescent="0.25">
      <c r="A349">
        <v>1702672</v>
      </c>
      <c r="B349">
        <v>460</v>
      </c>
      <c r="C349" t="s">
        <v>18</v>
      </c>
      <c r="D349" s="1">
        <v>42456.138888888891</v>
      </c>
      <c r="E349" t="s">
        <v>47</v>
      </c>
      <c r="F349" t="s">
        <v>48</v>
      </c>
      <c r="G349">
        <v>-122.32213</v>
      </c>
      <c r="H349">
        <v>47.615223</v>
      </c>
      <c r="I349" t="s">
        <v>451</v>
      </c>
      <c r="J349">
        <f t="shared" si="5"/>
        <v>1</v>
      </c>
      <c r="K349">
        <v>3</v>
      </c>
    </row>
    <row r="350" spans="1:11" x14ac:dyDescent="0.25">
      <c r="A350">
        <v>1702673</v>
      </c>
      <c r="B350">
        <v>245</v>
      </c>
      <c r="C350" t="s">
        <v>32</v>
      </c>
      <c r="D350" s="1">
        <v>42456.143750000003</v>
      </c>
      <c r="E350" t="s">
        <v>81</v>
      </c>
      <c r="F350" t="s">
        <v>135</v>
      </c>
      <c r="G350">
        <v>-122.345215</v>
      </c>
      <c r="H350">
        <v>47.612606</v>
      </c>
      <c r="I350" t="s">
        <v>438</v>
      </c>
      <c r="J350">
        <f t="shared" si="5"/>
        <v>2</v>
      </c>
      <c r="K350">
        <v>3</v>
      </c>
    </row>
    <row r="351" spans="1:11" x14ac:dyDescent="0.25">
      <c r="A351">
        <v>1702674</v>
      </c>
      <c r="B351">
        <v>63</v>
      </c>
      <c r="C351" t="s">
        <v>87</v>
      </c>
      <c r="D351" s="1">
        <v>42456.14166666667</v>
      </c>
      <c r="E351" t="s">
        <v>40</v>
      </c>
      <c r="F351" t="s">
        <v>151</v>
      </c>
      <c r="G351">
        <v>-122.28829</v>
      </c>
      <c r="H351">
        <v>47.609819999999999</v>
      </c>
      <c r="I351" t="s">
        <v>452</v>
      </c>
      <c r="J351">
        <f t="shared" si="5"/>
        <v>1</v>
      </c>
      <c r="K351">
        <v>2</v>
      </c>
    </row>
    <row r="352" spans="1:11" x14ac:dyDescent="0.25">
      <c r="A352">
        <v>1702675</v>
      </c>
      <c r="B352">
        <v>130</v>
      </c>
      <c r="C352" t="s">
        <v>248</v>
      </c>
      <c r="D352" s="1">
        <v>42456.143055555556</v>
      </c>
      <c r="E352" t="s">
        <v>29</v>
      </c>
      <c r="F352" t="s">
        <v>156</v>
      </c>
      <c r="G352">
        <v>-122.28314</v>
      </c>
      <c r="H352">
        <v>47.538882999999998</v>
      </c>
      <c r="I352" t="s">
        <v>453</v>
      </c>
      <c r="J352">
        <f t="shared" si="5"/>
        <v>1</v>
      </c>
      <c r="K352">
        <v>2</v>
      </c>
    </row>
    <row r="353" spans="1:11" x14ac:dyDescent="0.25">
      <c r="A353">
        <v>1702676</v>
      </c>
      <c r="B353">
        <v>245</v>
      </c>
      <c r="C353" t="s">
        <v>32</v>
      </c>
      <c r="D353" s="1">
        <v>42456.152083333334</v>
      </c>
      <c r="E353" t="s">
        <v>145</v>
      </c>
      <c r="F353" t="s">
        <v>146</v>
      </c>
      <c r="G353">
        <v>-122.33394</v>
      </c>
      <c r="H353">
        <v>47.705489999999998</v>
      </c>
      <c r="I353" t="s">
        <v>454</v>
      </c>
      <c r="J353">
        <f t="shared" si="5"/>
        <v>1</v>
      </c>
      <c r="K353">
        <v>2</v>
      </c>
    </row>
    <row r="354" spans="1:11" x14ac:dyDescent="0.25">
      <c r="A354">
        <v>1702677</v>
      </c>
      <c r="B354">
        <v>246</v>
      </c>
      <c r="C354" t="s">
        <v>285</v>
      </c>
      <c r="D354" s="1">
        <v>42456.152083333334</v>
      </c>
      <c r="E354" t="s">
        <v>15</v>
      </c>
      <c r="F354" t="s">
        <v>16</v>
      </c>
      <c r="G354">
        <v>-122.30244</v>
      </c>
      <c r="H354">
        <v>47.602158000000003</v>
      </c>
      <c r="I354" t="s">
        <v>455</v>
      </c>
      <c r="J354">
        <f t="shared" si="5"/>
        <v>1</v>
      </c>
      <c r="K354">
        <v>2</v>
      </c>
    </row>
    <row r="355" spans="1:11" x14ac:dyDescent="0.25">
      <c r="A355">
        <v>1702678</v>
      </c>
      <c r="B355">
        <v>63</v>
      </c>
      <c r="C355" t="s">
        <v>87</v>
      </c>
      <c r="D355" s="1">
        <v>42456.147222222222</v>
      </c>
      <c r="E355" t="s">
        <v>71</v>
      </c>
      <c r="F355" t="s">
        <v>72</v>
      </c>
      <c r="G355">
        <v>-122.335526</v>
      </c>
      <c r="H355">
        <v>47.603020000000001</v>
      </c>
      <c r="I355" t="s">
        <v>456</v>
      </c>
      <c r="J355">
        <f t="shared" si="5"/>
        <v>1</v>
      </c>
      <c r="K355">
        <v>2</v>
      </c>
    </row>
    <row r="356" spans="1:11" x14ac:dyDescent="0.25">
      <c r="A356">
        <v>1702679</v>
      </c>
      <c r="B356">
        <v>430</v>
      </c>
      <c r="C356" t="s">
        <v>70</v>
      </c>
      <c r="D356" s="1">
        <v>42456.15</v>
      </c>
      <c r="E356" t="s">
        <v>47</v>
      </c>
      <c r="F356" t="s">
        <v>90</v>
      </c>
      <c r="G356">
        <v>-122.32088</v>
      </c>
      <c r="H356">
        <v>47.619903999999998</v>
      </c>
      <c r="I356" t="s">
        <v>91</v>
      </c>
      <c r="J356">
        <f t="shared" si="5"/>
        <v>3</v>
      </c>
      <c r="K356">
        <v>1</v>
      </c>
    </row>
    <row r="357" spans="1:11" x14ac:dyDescent="0.25">
      <c r="A357">
        <v>1702680</v>
      </c>
      <c r="B357">
        <v>177</v>
      </c>
      <c r="C357" t="s">
        <v>61</v>
      </c>
      <c r="D357" s="1">
        <v>42456.15902777778</v>
      </c>
      <c r="E357" t="s">
        <v>81</v>
      </c>
      <c r="F357" t="s">
        <v>82</v>
      </c>
      <c r="G357">
        <v>-122.34050000000001</v>
      </c>
      <c r="H357">
        <v>47.618026999999998</v>
      </c>
      <c r="I357" t="s">
        <v>457</v>
      </c>
      <c r="J357">
        <f t="shared" si="5"/>
        <v>1</v>
      </c>
      <c r="K357">
        <v>3</v>
      </c>
    </row>
    <row r="358" spans="1:11" x14ac:dyDescent="0.25">
      <c r="A358">
        <v>1702681</v>
      </c>
      <c r="B358">
        <v>73</v>
      </c>
      <c r="C358" t="s">
        <v>458</v>
      </c>
      <c r="D358" s="1">
        <v>42456.156944444447</v>
      </c>
      <c r="E358" t="s">
        <v>11</v>
      </c>
      <c r="F358" t="s">
        <v>245</v>
      </c>
      <c r="G358">
        <v>-122.312645</v>
      </c>
      <c r="H358">
        <v>47.567238000000003</v>
      </c>
      <c r="I358" t="s">
        <v>459</v>
      </c>
      <c r="J358">
        <f t="shared" si="5"/>
        <v>1</v>
      </c>
      <c r="K358">
        <v>1</v>
      </c>
    </row>
    <row r="359" spans="1:11" x14ac:dyDescent="0.25">
      <c r="A359">
        <v>1702682</v>
      </c>
      <c r="B359">
        <v>281</v>
      </c>
      <c r="C359" t="s">
        <v>26</v>
      </c>
      <c r="D359" s="1">
        <v>42456.154861111114</v>
      </c>
      <c r="E359" t="s">
        <v>15</v>
      </c>
      <c r="F359" t="s">
        <v>390</v>
      </c>
      <c r="G359">
        <v>-122.29507</v>
      </c>
      <c r="H359">
        <v>47.598022</v>
      </c>
      <c r="I359" t="s">
        <v>460</v>
      </c>
      <c r="J359">
        <f t="shared" si="5"/>
        <v>1</v>
      </c>
      <c r="K359">
        <v>1</v>
      </c>
    </row>
    <row r="360" spans="1:11" x14ac:dyDescent="0.25">
      <c r="A360">
        <v>1702684</v>
      </c>
      <c r="B360">
        <v>430</v>
      </c>
      <c r="C360" t="s">
        <v>70</v>
      </c>
      <c r="D360" s="1">
        <v>42456.157638888886</v>
      </c>
      <c r="E360" t="s">
        <v>81</v>
      </c>
      <c r="F360" t="s">
        <v>135</v>
      </c>
      <c r="G360">
        <v>-122.34650999999999</v>
      </c>
      <c r="H360">
        <v>47.613373000000003</v>
      </c>
      <c r="I360" t="s">
        <v>461</v>
      </c>
      <c r="J360">
        <f t="shared" si="5"/>
        <v>2</v>
      </c>
      <c r="K360">
        <v>1</v>
      </c>
    </row>
    <row r="361" spans="1:11" x14ac:dyDescent="0.25">
      <c r="A361">
        <v>1702685</v>
      </c>
      <c r="B361">
        <v>30</v>
      </c>
      <c r="C361" t="s">
        <v>346</v>
      </c>
      <c r="D361" s="1">
        <v>42456.154861111114</v>
      </c>
      <c r="E361" t="s">
        <v>104</v>
      </c>
      <c r="F361" t="s">
        <v>181</v>
      </c>
      <c r="G361">
        <v>-122.35963</v>
      </c>
      <c r="H361">
        <v>47.522334999999998</v>
      </c>
      <c r="I361" t="s">
        <v>462</v>
      </c>
      <c r="J361">
        <f t="shared" si="5"/>
        <v>1</v>
      </c>
      <c r="K361">
        <v>1</v>
      </c>
    </row>
    <row r="362" spans="1:11" x14ac:dyDescent="0.25">
      <c r="A362">
        <v>1702686</v>
      </c>
      <c r="B362">
        <v>245</v>
      </c>
      <c r="C362" t="s">
        <v>32</v>
      </c>
      <c r="D362" s="1">
        <v>42456.155555555553</v>
      </c>
      <c r="E362" t="s">
        <v>43</v>
      </c>
      <c r="F362" t="s">
        <v>218</v>
      </c>
      <c r="G362">
        <v>-122.33287</v>
      </c>
      <c r="H362">
        <v>47.60172</v>
      </c>
      <c r="I362" t="s">
        <v>449</v>
      </c>
      <c r="J362">
        <f t="shared" si="5"/>
        <v>2</v>
      </c>
      <c r="K362">
        <v>0</v>
      </c>
    </row>
    <row r="363" spans="1:11" x14ac:dyDescent="0.25">
      <c r="A363">
        <v>1702687</v>
      </c>
      <c r="B363">
        <v>201</v>
      </c>
      <c r="C363" t="s">
        <v>36</v>
      </c>
      <c r="D363" s="1">
        <v>42456.154166666667</v>
      </c>
      <c r="E363" t="s">
        <v>145</v>
      </c>
      <c r="F363" t="s">
        <v>314</v>
      </c>
      <c r="G363">
        <v>-122.37016</v>
      </c>
      <c r="H363">
        <v>47.70673</v>
      </c>
      <c r="I363" t="s">
        <v>463</v>
      </c>
      <c r="J363">
        <f t="shared" si="5"/>
        <v>1</v>
      </c>
      <c r="K363">
        <v>3</v>
      </c>
    </row>
    <row r="364" spans="1:11" x14ac:dyDescent="0.25">
      <c r="A364">
        <v>1702688</v>
      </c>
      <c r="B364">
        <v>281</v>
      </c>
      <c r="C364" t="s">
        <v>26</v>
      </c>
      <c r="D364" s="1">
        <v>42456.163888888892</v>
      </c>
      <c r="E364" t="s">
        <v>71</v>
      </c>
      <c r="F364" t="s">
        <v>126</v>
      </c>
      <c r="G364">
        <v>-122.26449599999999</v>
      </c>
      <c r="H364">
        <v>47.522407999999999</v>
      </c>
      <c r="I364" t="s">
        <v>464</v>
      </c>
      <c r="J364">
        <f t="shared" si="5"/>
        <v>1</v>
      </c>
      <c r="K364">
        <v>1</v>
      </c>
    </row>
    <row r="365" spans="1:11" x14ac:dyDescent="0.25">
      <c r="A365">
        <v>1702689</v>
      </c>
      <c r="B365">
        <v>246</v>
      </c>
      <c r="C365" t="s">
        <v>285</v>
      </c>
      <c r="D365" s="1">
        <v>42456.165277777778</v>
      </c>
      <c r="E365" t="s">
        <v>95</v>
      </c>
      <c r="F365" t="s">
        <v>367</v>
      </c>
      <c r="G365">
        <v>-122.31523</v>
      </c>
      <c r="H365">
        <v>47.665680000000002</v>
      </c>
      <c r="I365" t="s">
        <v>465</v>
      </c>
      <c r="J365">
        <f t="shared" si="5"/>
        <v>2</v>
      </c>
      <c r="K365">
        <v>1</v>
      </c>
    </row>
    <row r="366" spans="1:11" x14ac:dyDescent="0.25">
      <c r="A366">
        <v>1702690</v>
      </c>
      <c r="B366">
        <v>200</v>
      </c>
      <c r="C366" t="s">
        <v>187</v>
      </c>
      <c r="D366" s="1">
        <v>42456.165972222225</v>
      </c>
      <c r="E366" t="s">
        <v>71</v>
      </c>
      <c r="F366" t="s">
        <v>110</v>
      </c>
      <c r="G366">
        <v>-122.320114</v>
      </c>
      <c r="H366">
        <v>47.614080000000001</v>
      </c>
      <c r="I366" t="s">
        <v>466</v>
      </c>
      <c r="J366">
        <f t="shared" si="5"/>
        <v>1</v>
      </c>
      <c r="K366">
        <v>1</v>
      </c>
    </row>
    <row r="367" spans="1:11" x14ac:dyDescent="0.25">
      <c r="A367">
        <v>1702691</v>
      </c>
      <c r="B367">
        <v>430</v>
      </c>
      <c r="C367" t="s">
        <v>70</v>
      </c>
      <c r="D367" s="1">
        <v>42456.160416666666</v>
      </c>
      <c r="E367" t="s">
        <v>15</v>
      </c>
      <c r="F367" t="s">
        <v>92</v>
      </c>
      <c r="G367">
        <v>-122.317825</v>
      </c>
      <c r="H367">
        <v>47.601695999999997</v>
      </c>
      <c r="I367" t="s">
        <v>467</v>
      </c>
      <c r="J367">
        <f t="shared" si="5"/>
        <v>2</v>
      </c>
      <c r="K367">
        <v>1</v>
      </c>
    </row>
    <row r="368" spans="1:11" x14ac:dyDescent="0.25">
      <c r="A368">
        <v>1702692</v>
      </c>
      <c r="B368">
        <v>281</v>
      </c>
      <c r="C368" t="s">
        <v>26</v>
      </c>
      <c r="D368" s="1">
        <v>42456.175000000003</v>
      </c>
      <c r="E368" t="s">
        <v>19</v>
      </c>
      <c r="F368" t="s">
        <v>349</v>
      </c>
      <c r="G368">
        <v>-122.32223999999999</v>
      </c>
      <c r="H368">
        <v>47.539634999999997</v>
      </c>
      <c r="I368" t="s">
        <v>468</v>
      </c>
      <c r="J368">
        <f t="shared" si="5"/>
        <v>1</v>
      </c>
      <c r="K368">
        <v>4</v>
      </c>
    </row>
    <row r="369" spans="1:11" x14ac:dyDescent="0.25">
      <c r="A369">
        <v>1702693</v>
      </c>
      <c r="B369">
        <v>280</v>
      </c>
      <c r="C369" t="s">
        <v>22</v>
      </c>
      <c r="D369" s="1">
        <v>42456.17291666667</v>
      </c>
      <c r="E369" t="s">
        <v>67</v>
      </c>
      <c r="F369" t="s">
        <v>68</v>
      </c>
      <c r="G369">
        <v>-122.33127</v>
      </c>
      <c r="H369">
        <v>47.612679999999997</v>
      </c>
      <c r="I369" t="s">
        <v>469</v>
      </c>
      <c r="J369">
        <f t="shared" si="5"/>
        <v>2</v>
      </c>
      <c r="K369">
        <v>2</v>
      </c>
    </row>
    <row r="370" spans="1:11" x14ac:dyDescent="0.25">
      <c r="A370">
        <v>1702694</v>
      </c>
      <c r="B370">
        <v>220</v>
      </c>
      <c r="C370" t="s">
        <v>173</v>
      </c>
      <c r="D370" s="1">
        <v>42456.17083333333</v>
      </c>
      <c r="E370" t="s">
        <v>71</v>
      </c>
      <c r="F370" t="s">
        <v>110</v>
      </c>
      <c r="G370">
        <v>-122.3411</v>
      </c>
      <c r="H370">
        <v>47.611347000000002</v>
      </c>
      <c r="I370" t="s">
        <v>470</v>
      </c>
      <c r="J370">
        <f t="shared" si="5"/>
        <v>2</v>
      </c>
      <c r="K370">
        <v>2</v>
      </c>
    </row>
    <row r="371" spans="1:11" x14ac:dyDescent="0.25">
      <c r="A371">
        <v>1702695</v>
      </c>
      <c r="B371">
        <v>450</v>
      </c>
      <c r="C371" t="s">
        <v>266</v>
      </c>
      <c r="D371" s="1">
        <v>42456.175694444442</v>
      </c>
      <c r="E371" t="s">
        <v>81</v>
      </c>
      <c r="F371" t="s">
        <v>154</v>
      </c>
      <c r="G371">
        <v>-122.33337</v>
      </c>
      <c r="H371">
        <v>47.617330000000003</v>
      </c>
      <c r="I371" t="s">
        <v>437</v>
      </c>
      <c r="J371">
        <f t="shared" si="5"/>
        <v>3</v>
      </c>
      <c r="K371">
        <v>1</v>
      </c>
    </row>
    <row r="372" spans="1:11" x14ac:dyDescent="0.25">
      <c r="A372">
        <v>1702696</v>
      </c>
      <c r="B372">
        <v>161</v>
      </c>
      <c r="C372" t="s">
        <v>35</v>
      </c>
      <c r="D372" s="1">
        <v>42456.179166666669</v>
      </c>
      <c r="E372" t="s">
        <v>81</v>
      </c>
      <c r="F372" t="s">
        <v>82</v>
      </c>
      <c r="G372">
        <v>-122.34198000000001</v>
      </c>
      <c r="H372">
        <v>47.614215999999999</v>
      </c>
      <c r="I372" t="s">
        <v>471</v>
      </c>
      <c r="J372">
        <f t="shared" si="5"/>
        <v>2</v>
      </c>
      <c r="K372">
        <v>1</v>
      </c>
    </row>
    <row r="373" spans="1:11" x14ac:dyDescent="0.25">
      <c r="A373">
        <v>1702697</v>
      </c>
      <c r="B373">
        <v>40</v>
      </c>
      <c r="C373" t="s">
        <v>119</v>
      </c>
      <c r="D373" s="1">
        <v>42456.173611111109</v>
      </c>
      <c r="E373" t="s">
        <v>47</v>
      </c>
      <c r="F373" t="s">
        <v>177</v>
      </c>
      <c r="G373">
        <v>-122.32831</v>
      </c>
      <c r="H373">
        <v>47.615079999999999</v>
      </c>
      <c r="I373" t="s">
        <v>472</v>
      </c>
      <c r="J373">
        <f t="shared" si="5"/>
        <v>1</v>
      </c>
      <c r="K373">
        <v>0</v>
      </c>
    </row>
    <row r="374" spans="1:11" x14ac:dyDescent="0.25">
      <c r="A374">
        <v>1702698</v>
      </c>
      <c r="B374">
        <v>280</v>
      </c>
      <c r="C374" t="s">
        <v>22</v>
      </c>
      <c r="D374" s="1">
        <v>42456.173611111109</v>
      </c>
      <c r="E374" t="s">
        <v>67</v>
      </c>
      <c r="F374" t="s">
        <v>193</v>
      </c>
      <c r="G374">
        <v>-122.33835000000001</v>
      </c>
      <c r="H374">
        <v>47.609515999999999</v>
      </c>
      <c r="I374" t="s">
        <v>366</v>
      </c>
      <c r="J374">
        <f t="shared" si="5"/>
        <v>8</v>
      </c>
      <c r="K374">
        <v>0</v>
      </c>
    </row>
    <row r="375" spans="1:11" x14ac:dyDescent="0.25">
      <c r="A375">
        <v>1702699</v>
      </c>
      <c r="B375">
        <v>130</v>
      </c>
      <c r="C375" t="s">
        <v>248</v>
      </c>
      <c r="D375" s="1">
        <v>42456.186111111114</v>
      </c>
      <c r="E375" t="s">
        <v>145</v>
      </c>
      <c r="F375" t="s">
        <v>146</v>
      </c>
      <c r="G375">
        <v>-122.3295</v>
      </c>
      <c r="H375">
        <v>47.694434999999999</v>
      </c>
      <c r="I375" t="s">
        <v>473</v>
      </c>
      <c r="J375">
        <f t="shared" si="5"/>
        <v>1</v>
      </c>
      <c r="K375">
        <v>3</v>
      </c>
    </row>
    <row r="376" spans="1:11" x14ac:dyDescent="0.25">
      <c r="A376">
        <v>1702700</v>
      </c>
      <c r="B376">
        <v>201</v>
      </c>
      <c r="C376" t="s">
        <v>36</v>
      </c>
      <c r="D376" s="1">
        <v>42456.1875</v>
      </c>
      <c r="E376" t="s">
        <v>23</v>
      </c>
      <c r="F376" t="s">
        <v>189</v>
      </c>
      <c r="G376">
        <v>-122.35755</v>
      </c>
      <c r="H376">
        <v>47.644109999999998</v>
      </c>
      <c r="I376" t="s">
        <v>474</v>
      </c>
      <c r="J376">
        <f t="shared" si="5"/>
        <v>1</v>
      </c>
      <c r="K376">
        <v>3</v>
      </c>
    </row>
    <row r="377" spans="1:11" x14ac:dyDescent="0.25">
      <c r="A377">
        <v>1702701</v>
      </c>
      <c r="B377">
        <v>245</v>
      </c>
      <c r="C377" t="s">
        <v>32</v>
      </c>
      <c r="D377" s="1">
        <v>42456.192361111112</v>
      </c>
      <c r="E377" t="s">
        <v>71</v>
      </c>
      <c r="F377" t="s">
        <v>72</v>
      </c>
      <c r="G377">
        <v>-122.33587</v>
      </c>
      <c r="H377">
        <v>47.619109999999999</v>
      </c>
      <c r="I377" t="s">
        <v>475</v>
      </c>
      <c r="J377">
        <f t="shared" si="5"/>
        <v>2</v>
      </c>
      <c r="K377">
        <v>1</v>
      </c>
    </row>
    <row r="378" spans="1:11" x14ac:dyDescent="0.25">
      <c r="A378">
        <v>1702702</v>
      </c>
      <c r="B378">
        <v>184</v>
      </c>
      <c r="C378" t="s">
        <v>149</v>
      </c>
      <c r="D378" s="1">
        <v>42456.190972222219</v>
      </c>
      <c r="E378" t="s">
        <v>47</v>
      </c>
      <c r="F378" t="s">
        <v>48</v>
      </c>
      <c r="G378">
        <v>-122.318794</v>
      </c>
      <c r="H378">
        <v>47.614089999999997</v>
      </c>
      <c r="I378" t="s">
        <v>476</v>
      </c>
      <c r="J378">
        <f t="shared" si="5"/>
        <v>1</v>
      </c>
      <c r="K378">
        <v>3</v>
      </c>
    </row>
    <row r="379" spans="1:11" x14ac:dyDescent="0.25">
      <c r="A379">
        <v>1702703</v>
      </c>
      <c r="B379">
        <v>280</v>
      </c>
      <c r="C379" t="s">
        <v>22</v>
      </c>
      <c r="D379" s="1">
        <v>42456.2</v>
      </c>
      <c r="E379" t="s">
        <v>71</v>
      </c>
      <c r="F379" t="s">
        <v>110</v>
      </c>
      <c r="G379">
        <v>-122.30076</v>
      </c>
      <c r="H379">
        <v>47.683044000000002</v>
      </c>
      <c r="I379" t="s">
        <v>477</v>
      </c>
      <c r="J379">
        <f t="shared" si="5"/>
        <v>1</v>
      </c>
      <c r="K379">
        <v>0</v>
      </c>
    </row>
    <row r="380" spans="1:11" x14ac:dyDescent="0.25">
      <c r="A380">
        <v>1702704</v>
      </c>
      <c r="B380">
        <v>52</v>
      </c>
      <c r="C380" t="s">
        <v>57</v>
      </c>
      <c r="D380" s="1">
        <v>42456.2</v>
      </c>
      <c r="E380" t="s">
        <v>78</v>
      </c>
      <c r="F380" t="s">
        <v>79</v>
      </c>
      <c r="G380">
        <v>-122.38759</v>
      </c>
      <c r="H380">
        <v>47.674923</v>
      </c>
      <c r="I380" t="s">
        <v>478</v>
      </c>
      <c r="J380">
        <f t="shared" si="5"/>
        <v>1</v>
      </c>
      <c r="K380">
        <v>1</v>
      </c>
    </row>
    <row r="381" spans="1:11" x14ac:dyDescent="0.25">
      <c r="A381">
        <v>1702705</v>
      </c>
      <c r="B381">
        <v>177</v>
      </c>
      <c r="C381" t="s">
        <v>61</v>
      </c>
      <c r="D381" s="1">
        <v>42456.206944444442</v>
      </c>
      <c r="E381" t="s">
        <v>67</v>
      </c>
      <c r="F381" t="s">
        <v>100</v>
      </c>
      <c r="G381">
        <v>-122.33956000000001</v>
      </c>
      <c r="H381">
        <v>47.608325999999998</v>
      </c>
      <c r="I381" t="s">
        <v>479</v>
      </c>
      <c r="J381">
        <f t="shared" si="5"/>
        <v>1</v>
      </c>
      <c r="K381">
        <v>3</v>
      </c>
    </row>
    <row r="382" spans="1:11" x14ac:dyDescent="0.25">
      <c r="A382">
        <v>1702706</v>
      </c>
      <c r="B382">
        <v>250</v>
      </c>
      <c r="C382" t="s">
        <v>59</v>
      </c>
      <c r="D382" s="1">
        <v>42456.205555555556</v>
      </c>
      <c r="E382" t="s">
        <v>81</v>
      </c>
      <c r="F382" t="s">
        <v>82</v>
      </c>
      <c r="G382">
        <v>-122.34354999999999</v>
      </c>
      <c r="H382">
        <v>47.620310000000003</v>
      </c>
      <c r="I382" t="s">
        <v>480</v>
      </c>
      <c r="J382">
        <f t="shared" si="5"/>
        <v>2</v>
      </c>
      <c r="K382">
        <v>2</v>
      </c>
    </row>
    <row r="383" spans="1:11" x14ac:dyDescent="0.25">
      <c r="A383">
        <v>1702707</v>
      </c>
      <c r="B383">
        <v>280</v>
      </c>
      <c r="C383" t="s">
        <v>22</v>
      </c>
      <c r="D383" s="1">
        <v>42456.211111111108</v>
      </c>
      <c r="E383" t="s">
        <v>71</v>
      </c>
      <c r="F383" t="s">
        <v>126</v>
      </c>
      <c r="G383">
        <v>-122.333725</v>
      </c>
      <c r="H383">
        <v>47.598289999999999</v>
      </c>
      <c r="I383" t="s">
        <v>481</v>
      </c>
      <c r="J383">
        <f t="shared" si="5"/>
        <v>1</v>
      </c>
      <c r="K383">
        <v>0</v>
      </c>
    </row>
    <row r="384" spans="1:11" x14ac:dyDescent="0.25">
      <c r="A384">
        <v>1702708</v>
      </c>
      <c r="B384">
        <v>242</v>
      </c>
      <c r="C384" t="s">
        <v>10</v>
      </c>
      <c r="D384" s="1">
        <v>42456.206250000003</v>
      </c>
      <c r="E384" t="s">
        <v>81</v>
      </c>
      <c r="F384" t="s">
        <v>82</v>
      </c>
      <c r="G384">
        <v>-122.34354999999999</v>
      </c>
      <c r="H384">
        <v>47.620310000000003</v>
      </c>
      <c r="I384" t="s">
        <v>480</v>
      </c>
      <c r="J384">
        <f t="shared" si="5"/>
        <v>2</v>
      </c>
      <c r="K384">
        <v>2</v>
      </c>
    </row>
    <row r="385" spans="1:11" x14ac:dyDescent="0.25">
      <c r="A385">
        <v>1702709</v>
      </c>
      <c r="B385">
        <v>40</v>
      </c>
      <c r="C385" t="s">
        <v>119</v>
      </c>
      <c r="D385" s="1">
        <v>42456.205555555556</v>
      </c>
      <c r="E385" t="s">
        <v>23</v>
      </c>
      <c r="F385" t="s">
        <v>24</v>
      </c>
      <c r="G385">
        <v>-122.3775</v>
      </c>
      <c r="H385">
        <v>47.648463999999997</v>
      </c>
      <c r="I385" t="s">
        <v>482</v>
      </c>
      <c r="J385">
        <f t="shared" si="5"/>
        <v>1</v>
      </c>
      <c r="K385">
        <v>2</v>
      </c>
    </row>
    <row r="386" spans="1:11" x14ac:dyDescent="0.25">
      <c r="A386">
        <v>1702710</v>
      </c>
      <c r="B386">
        <v>280</v>
      </c>
      <c r="C386" t="s">
        <v>22</v>
      </c>
      <c r="D386" s="1">
        <v>42456.207638888889</v>
      </c>
      <c r="E386" t="s">
        <v>130</v>
      </c>
      <c r="F386" t="s">
        <v>290</v>
      </c>
      <c r="G386">
        <v>-122.30683000000001</v>
      </c>
      <c r="H386">
        <v>47.694397000000002</v>
      </c>
      <c r="I386" t="s">
        <v>483</v>
      </c>
      <c r="J386">
        <f t="shared" ref="J386:J449" si="6">COUNTIF($I$2:$I$1046,I386)</f>
        <v>1</v>
      </c>
      <c r="K386">
        <v>3</v>
      </c>
    </row>
    <row r="387" spans="1:11" x14ac:dyDescent="0.25">
      <c r="A387">
        <v>1702712</v>
      </c>
      <c r="B387">
        <v>350</v>
      </c>
      <c r="C387" t="s">
        <v>76</v>
      </c>
      <c r="D387" s="1">
        <v>42456.21875</v>
      </c>
      <c r="E387" t="s">
        <v>43</v>
      </c>
      <c r="F387" t="s">
        <v>102</v>
      </c>
      <c r="G387">
        <v>-122.33941</v>
      </c>
      <c r="H387">
        <v>47.605339999999998</v>
      </c>
      <c r="I387" t="s">
        <v>484</v>
      </c>
      <c r="J387">
        <f t="shared" si="6"/>
        <v>1</v>
      </c>
      <c r="K387">
        <v>1</v>
      </c>
    </row>
    <row r="388" spans="1:11" x14ac:dyDescent="0.25">
      <c r="A388">
        <v>1702713</v>
      </c>
      <c r="B388">
        <v>201</v>
      </c>
      <c r="C388" t="s">
        <v>36</v>
      </c>
      <c r="D388" s="1">
        <v>42456.214583333334</v>
      </c>
      <c r="E388" t="s">
        <v>11</v>
      </c>
      <c r="F388" t="s">
        <v>12</v>
      </c>
      <c r="G388">
        <v>-122.26648</v>
      </c>
      <c r="H388">
        <v>47.546906</v>
      </c>
      <c r="I388" t="s">
        <v>485</v>
      </c>
      <c r="J388">
        <f t="shared" si="6"/>
        <v>1</v>
      </c>
      <c r="K388">
        <v>4</v>
      </c>
    </row>
    <row r="389" spans="1:11" x14ac:dyDescent="0.25">
      <c r="A389">
        <v>1702714</v>
      </c>
      <c r="B389">
        <v>245</v>
      </c>
      <c r="C389" t="s">
        <v>32</v>
      </c>
      <c r="D389" s="1">
        <v>42456.213888888888</v>
      </c>
      <c r="E389" t="s">
        <v>81</v>
      </c>
      <c r="F389" t="s">
        <v>154</v>
      </c>
      <c r="G389">
        <v>-122.33587</v>
      </c>
      <c r="H389">
        <v>47.619109999999999</v>
      </c>
      <c r="I389" t="s">
        <v>475</v>
      </c>
      <c r="J389">
        <f t="shared" si="6"/>
        <v>2</v>
      </c>
      <c r="K389">
        <v>3</v>
      </c>
    </row>
    <row r="390" spans="1:11" x14ac:dyDescent="0.25">
      <c r="A390">
        <v>1702715</v>
      </c>
      <c r="B390">
        <v>282</v>
      </c>
      <c r="C390" t="s">
        <v>486</v>
      </c>
      <c r="D390" s="1">
        <v>42456.211805555555</v>
      </c>
      <c r="E390" t="s">
        <v>145</v>
      </c>
      <c r="F390" t="s">
        <v>305</v>
      </c>
      <c r="G390">
        <v>-122.34000399999999</v>
      </c>
      <c r="H390">
        <v>47.714893000000004</v>
      </c>
      <c r="I390" t="s">
        <v>487</v>
      </c>
      <c r="J390">
        <f t="shared" si="6"/>
        <v>1</v>
      </c>
      <c r="K390">
        <v>1</v>
      </c>
    </row>
    <row r="391" spans="1:11" x14ac:dyDescent="0.25">
      <c r="A391">
        <v>1702716</v>
      </c>
      <c r="B391">
        <v>245</v>
      </c>
      <c r="C391" t="s">
        <v>32</v>
      </c>
      <c r="D391" s="1">
        <v>42456.209027777775</v>
      </c>
      <c r="E391" t="s">
        <v>47</v>
      </c>
      <c r="F391" t="s">
        <v>48</v>
      </c>
      <c r="G391">
        <v>-122.32079</v>
      </c>
      <c r="H391">
        <v>47.614654999999999</v>
      </c>
      <c r="I391" t="s">
        <v>362</v>
      </c>
      <c r="J391">
        <f t="shared" si="6"/>
        <v>3</v>
      </c>
      <c r="K391">
        <v>2</v>
      </c>
    </row>
    <row r="392" spans="1:11" x14ac:dyDescent="0.25">
      <c r="A392">
        <v>1702717</v>
      </c>
      <c r="B392">
        <v>177</v>
      </c>
      <c r="C392" t="s">
        <v>61</v>
      </c>
      <c r="D392" s="1">
        <v>42456.216666666667</v>
      </c>
      <c r="E392" t="s">
        <v>40</v>
      </c>
      <c r="F392" t="s">
        <v>41</v>
      </c>
      <c r="G392">
        <v>-122.314896</v>
      </c>
      <c r="H392">
        <v>47.615276000000001</v>
      </c>
      <c r="I392" t="s">
        <v>488</v>
      </c>
      <c r="J392">
        <f t="shared" si="6"/>
        <v>1</v>
      </c>
      <c r="K392">
        <v>0</v>
      </c>
    </row>
    <row r="393" spans="1:11" x14ac:dyDescent="0.25">
      <c r="A393">
        <v>1702718</v>
      </c>
      <c r="B393">
        <v>74</v>
      </c>
      <c r="C393" t="s">
        <v>94</v>
      </c>
      <c r="D393" s="1">
        <v>42456.222916666666</v>
      </c>
      <c r="E393" t="s">
        <v>95</v>
      </c>
      <c r="F393" t="s">
        <v>96</v>
      </c>
      <c r="G393">
        <v>-122.2972</v>
      </c>
      <c r="H393">
        <v>47.683050000000001</v>
      </c>
      <c r="I393" t="s">
        <v>321</v>
      </c>
      <c r="J393">
        <f t="shared" si="6"/>
        <v>2</v>
      </c>
      <c r="K393">
        <v>0</v>
      </c>
    </row>
    <row r="394" spans="1:11" x14ac:dyDescent="0.25">
      <c r="A394">
        <v>1702719</v>
      </c>
      <c r="B394">
        <v>161</v>
      </c>
      <c r="C394" t="s">
        <v>35</v>
      </c>
      <c r="D394" s="1">
        <v>42456.225694444445</v>
      </c>
      <c r="E394" t="s">
        <v>23</v>
      </c>
      <c r="F394" t="s">
        <v>88</v>
      </c>
      <c r="G394">
        <v>-122.347595</v>
      </c>
      <c r="H394">
        <v>47.621490000000001</v>
      </c>
      <c r="I394" t="s">
        <v>489</v>
      </c>
      <c r="J394">
        <f t="shared" si="6"/>
        <v>1</v>
      </c>
      <c r="K394">
        <v>4</v>
      </c>
    </row>
    <row r="395" spans="1:11" x14ac:dyDescent="0.25">
      <c r="A395">
        <v>1702720</v>
      </c>
      <c r="B395">
        <v>141</v>
      </c>
      <c r="C395" t="s">
        <v>316</v>
      </c>
      <c r="D395" s="1">
        <v>42456.224999999999</v>
      </c>
      <c r="E395" t="s">
        <v>81</v>
      </c>
      <c r="F395" t="s">
        <v>135</v>
      </c>
      <c r="G395">
        <v>-122.347374</v>
      </c>
      <c r="H395">
        <v>47.61271</v>
      </c>
      <c r="I395" t="s">
        <v>490</v>
      </c>
      <c r="J395">
        <f t="shared" si="6"/>
        <v>1</v>
      </c>
      <c r="K395">
        <v>1</v>
      </c>
    </row>
    <row r="396" spans="1:11" x14ac:dyDescent="0.25">
      <c r="A396">
        <v>1702721</v>
      </c>
      <c r="B396">
        <v>71</v>
      </c>
      <c r="C396" t="s">
        <v>142</v>
      </c>
      <c r="D396" s="1">
        <v>42455.93472222222</v>
      </c>
      <c r="E396" t="s">
        <v>71</v>
      </c>
      <c r="F396" t="s">
        <v>126</v>
      </c>
      <c r="G396">
        <v>-122.36333500000001</v>
      </c>
      <c r="H396">
        <v>47.692062</v>
      </c>
      <c r="I396" t="s">
        <v>491</v>
      </c>
      <c r="J396">
        <f t="shared" si="6"/>
        <v>1</v>
      </c>
      <c r="K396">
        <v>3</v>
      </c>
    </row>
    <row r="397" spans="1:11" x14ac:dyDescent="0.25">
      <c r="A397">
        <v>1702722</v>
      </c>
      <c r="B397">
        <v>220</v>
      </c>
      <c r="C397" t="s">
        <v>173</v>
      </c>
      <c r="D397" s="1">
        <v>42456.240972222222</v>
      </c>
      <c r="E397" t="s">
        <v>67</v>
      </c>
      <c r="F397" t="s">
        <v>68</v>
      </c>
      <c r="G397">
        <v>-122.3387</v>
      </c>
      <c r="H397">
        <v>47.610743999999997</v>
      </c>
      <c r="I397" t="s">
        <v>328</v>
      </c>
      <c r="J397">
        <f t="shared" si="6"/>
        <v>4</v>
      </c>
      <c r="K397">
        <v>3</v>
      </c>
    </row>
    <row r="398" spans="1:11" x14ac:dyDescent="0.25">
      <c r="A398">
        <v>1702723</v>
      </c>
      <c r="B398">
        <v>245</v>
      </c>
      <c r="C398" t="s">
        <v>32</v>
      </c>
      <c r="D398" s="1">
        <v>42456.238888888889</v>
      </c>
      <c r="E398" t="s">
        <v>95</v>
      </c>
      <c r="F398" t="s">
        <v>98</v>
      </c>
      <c r="G398">
        <v>-122.31711</v>
      </c>
      <c r="H398">
        <v>47.661296999999998</v>
      </c>
      <c r="I398" t="s">
        <v>492</v>
      </c>
      <c r="J398">
        <f t="shared" si="6"/>
        <v>1</v>
      </c>
      <c r="K398">
        <v>3</v>
      </c>
    </row>
    <row r="399" spans="1:11" x14ac:dyDescent="0.25">
      <c r="A399">
        <v>1702724</v>
      </c>
      <c r="B399">
        <v>245</v>
      </c>
      <c r="C399" t="s">
        <v>32</v>
      </c>
      <c r="D399" s="1">
        <v>42456.24722222222</v>
      </c>
      <c r="E399" t="s">
        <v>43</v>
      </c>
      <c r="F399" t="s">
        <v>218</v>
      </c>
      <c r="G399">
        <v>-122.33620999999999</v>
      </c>
      <c r="H399">
        <v>47.601322000000003</v>
      </c>
      <c r="I399" t="s">
        <v>493</v>
      </c>
      <c r="J399">
        <f t="shared" si="6"/>
        <v>1</v>
      </c>
      <c r="K399">
        <v>2</v>
      </c>
    </row>
    <row r="400" spans="1:11" x14ac:dyDescent="0.25">
      <c r="A400">
        <v>1702725</v>
      </c>
      <c r="B400">
        <v>201</v>
      </c>
      <c r="C400" t="s">
        <v>36</v>
      </c>
      <c r="D400" s="1">
        <v>42456.243055555555</v>
      </c>
      <c r="E400" t="s">
        <v>130</v>
      </c>
      <c r="F400" t="s">
        <v>290</v>
      </c>
      <c r="G400">
        <v>-122.31353</v>
      </c>
      <c r="H400">
        <v>47.699444</v>
      </c>
      <c r="I400" t="s">
        <v>494</v>
      </c>
      <c r="J400">
        <f t="shared" si="6"/>
        <v>1</v>
      </c>
      <c r="K400">
        <v>1</v>
      </c>
    </row>
    <row r="401" spans="1:11" x14ac:dyDescent="0.25">
      <c r="A401">
        <v>1702726</v>
      </c>
      <c r="B401">
        <v>63</v>
      </c>
      <c r="C401" t="s">
        <v>87</v>
      </c>
      <c r="D401" s="1">
        <v>42456.231944444444</v>
      </c>
      <c r="E401" t="s">
        <v>19</v>
      </c>
      <c r="F401" t="s">
        <v>20</v>
      </c>
      <c r="G401">
        <v>-122.3342</v>
      </c>
      <c r="H401">
        <v>47.589269999999999</v>
      </c>
      <c r="I401" t="s">
        <v>495</v>
      </c>
      <c r="J401">
        <f t="shared" si="6"/>
        <v>1</v>
      </c>
      <c r="K401">
        <v>1</v>
      </c>
    </row>
    <row r="402" spans="1:11" x14ac:dyDescent="0.25">
      <c r="A402">
        <v>1702727</v>
      </c>
      <c r="B402">
        <v>192</v>
      </c>
      <c r="C402" t="s">
        <v>240</v>
      </c>
      <c r="D402" s="1">
        <v>42456.232638888891</v>
      </c>
      <c r="E402" t="s">
        <v>19</v>
      </c>
      <c r="F402" t="s">
        <v>20</v>
      </c>
      <c r="G402">
        <v>-122.32905599999999</v>
      </c>
      <c r="H402">
        <v>47.581893999999998</v>
      </c>
      <c r="I402" t="s">
        <v>496</v>
      </c>
      <c r="J402">
        <f t="shared" si="6"/>
        <v>1</v>
      </c>
      <c r="K402">
        <v>1</v>
      </c>
    </row>
    <row r="403" spans="1:11" x14ac:dyDescent="0.25">
      <c r="A403">
        <v>1702728</v>
      </c>
      <c r="B403">
        <v>200</v>
      </c>
      <c r="C403" t="s">
        <v>187</v>
      </c>
      <c r="D403" s="1">
        <v>42456.23333333333</v>
      </c>
      <c r="E403" t="s">
        <v>71</v>
      </c>
      <c r="F403" t="s">
        <v>110</v>
      </c>
      <c r="G403">
        <v>-122.32905599999999</v>
      </c>
      <c r="H403">
        <v>47.574978000000002</v>
      </c>
      <c r="I403" t="s">
        <v>497</v>
      </c>
      <c r="J403">
        <f t="shared" si="6"/>
        <v>1</v>
      </c>
      <c r="K403">
        <v>3</v>
      </c>
    </row>
    <row r="404" spans="1:11" x14ac:dyDescent="0.25">
      <c r="A404">
        <v>1702729</v>
      </c>
      <c r="B404">
        <v>430</v>
      </c>
      <c r="C404" t="s">
        <v>70</v>
      </c>
      <c r="D404" s="1">
        <v>42456.230555555558</v>
      </c>
      <c r="E404" t="s">
        <v>130</v>
      </c>
      <c r="F404" t="s">
        <v>290</v>
      </c>
      <c r="G404">
        <v>-122.32332</v>
      </c>
      <c r="H404">
        <v>47.709994999999999</v>
      </c>
      <c r="I404" t="s">
        <v>498</v>
      </c>
      <c r="J404">
        <f t="shared" si="6"/>
        <v>1</v>
      </c>
      <c r="K404">
        <v>1</v>
      </c>
    </row>
    <row r="405" spans="1:11" x14ac:dyDescent="0.25">
      <c r="A405">
        <v>1702731</v>
      </c>
      <c r="B405">
        <v>430</v>
      </c>
      <c r="C405" t="s">
        <v>70</v>
      </c>
      <c r="D405" s="1">
        <v>42456.23333333333</v>
      </c>
      <c r="E405" t="s">
        <v>23</v>
      </c>
      <c r="F405" t="s">
        <v>88</v>
      </c>
      <c r="G405">
        <v>-122.346245</v>
      </c>
      <c r="H405">
        <v>47.62715</v>
      </c>
      <c r="I405" t="s">
        <v>499</v>
      </c>
      <c r="J405">
        <f t="shared" si="6"/>
        <v>1</v>
      </c>
      <c r="K405">
        <v>0</v>
      </c>
    </row>
    <row r="406" spans="1:11" x14ac:dyDescent="0.25">
      <c r="A406">
        <v>1702732</v>
      </c>
      <c r="B406">
        <v>200</v>
      </c>
      <c r="C406" t="s">
        <v>187</v>
      </c>
      <c r="D406" s="1">
        <v>42456.257638888892</v>
      </c>
      <c r="E406" t="s">
        <v>78</v>
      </c>
      <c r="F406" t="s">
        <v>85</v>
      </c>
      <c r="G406">
        <v>-122.342705</v>
      </c>
      <c r="H406">
        <v>47.649974999999998</v>
      </c>
      <c r="I406" t="s">
        <v>500</v>
      </c>
      <c r="J406">
        <f t="shared" si="6"/>
        <v>1</v>
      </c>
      <c r="K406">
        <v>1</v>
      </c>
    </row>
    <row r="407" spans="1:11" x14ac:dyDescent="0.25">
      <c r="A407">
        <v>1702733</v>
      </c>
      <c r="B407">
        <v>201</v>
      </c>
      <c r="C407" t="s">
        <v>36</v>
      </c>
      <c r="D407" s="1">
        <v>42456.245833333334</v>
      </c>
      <c r="E407" t="s">
        <v>40</v>
      </c>
      <c r="F407" t="s">
        <v>151</v>
      </c>
      <c r="G407">
        <v>-122.28268</v>
      </c>
      <c r="H407">
        <v>47.620106</v>
      </c>
      <c r="I407" t="s">
        <v>501</v>
      </c>
      <c r="J407">
        <f t="shared" si="6"/>
        <v>1</v>
      </c>
      <c r="K407">
        <v>2</v>
      </c>
    </row>
    <row r="408" spans="1:11" x14ac:dyDescent="0.25">
      <c r="A408">
        <v>1702734</v>
      </c>
      <c r="B408">
        <v>50</v>
      </c>
      <c r="C408" t="s">
        <v>211</v>
      </c>
      <c r="D408" s="1">
        <v>42456.261805555558</v>
      </c>
      <c r="E408" t="s">
        <v>130</v>
      </c>
      <c r="F408" t="s">
        <v>131</v>
      </c>
      <c r="G408">
        <v>-122.29079400000001</v>
      </c>
      <c r="H408">
        <v>47.720947000000002</v>
      </c>
      <c r="I408" t="s">
        <v>502</v>
      </c>
      <c r="J408">
        <f t="shared" si="6"/>
        <v>1</v>
      </c>
      <c r="K408">
        <v>2</v>
      </c>
    </row>
    <row r="409" spans="1:11" x14ac:dyDescent="0.25">
      <c r="A409">
        <v>1702735</v>
      </c>
      <c r="B409">
        <v>161</v>
      </c>
      <c r="C409" t="s">
        <v>35</v>
      </c>
      <c r="D409" s="1">
        <v>42456.263888888891</v>
      </c>
      <c r="E409" t="s">
        <v>104</v>
      </c>
      <c r="F409" t="s">
        <v>105</v>
      </c>
      <c r="G409">
        <v>-122.3129</v>
      </c>
      <c r="H409">
        <v>47.526012000000001</v>
      </c>
      <c r="I409" t="s">
        <v>503</v>
      </c>
      <c r="J409">
        <f t="shared" si="6"/>
        <v>1</v>
      </c>
      <c r="K409">
        <v>3</v>
      </c>
    </row>
    <row r="410" spans="1:11" x14ac:dyDescent="0.25">
      <c r="A410">
        <v>1702736</v>
      </c>
      <c r="B410">
        <v>220</v>
      </c>
      <c r="C410" t="s">
        <v>173</v>
      </c>
      <c r="D410" s="1">
        <v>42456.251388888886</v>
      </c>
      <c r="E410" t="s">
        <v>43</v>
      </c>
      <c r="F410" t="s">
        <v>44</v>
      </c>
      <c r="G410">
        <v>-122.33081</v>
      </c>
      <c r="H410">
        <v>47.600464000000002</v>
      </c>
      <c r="I410" t="s">
        <v>45</v>
      </c>
      <c r="J410">
        <f t="shared" si="6"/>
        <v>17</v>
      </c>
      <c r="K410">
        <v>1</v>
      </c>
    </row>
    <row r="411" spans="1:11" x14ac:dyDescent="0.25">
      <c r="A411">
        <v>1702737</v>
      </c>
      <c r="B411">
        <v>460</v>
      </c>
      <c r="C411" t="s">
        <v>18</v>
      </c>
      <c r="D411" s="1">
        <v>42456.268055555556</v>
      </c>
      <c r="E411" t="s">
        <v>19</v>
      </c>
      <c r="F411" t="s">
        <v>20</v>
      </c>
      <c r="G411">
        <v>-122.32905599999999</v>
      </c>
      <c r="H411">
        <v>47.582934999999999</v>
      </c>
      <c r="I411" t="s">
        <v>505</v>
      </c>
      <c r="J411">
        <f t="shared" si="6"/>
        <v>1</v>
      </c>
      <c r="K411">
        <v>3</v>
      </c>
    </row>
    <row r="412" spans="1:11" x14ac:dyDescent="0.25">
      <c r="A412">
        <v>1702738</v>
      </c>
      <c r="B412">
        <v>245</v>
      </c>
      <c r="C412" t="s">
        <v>32</v>
      </c>
      <c r="D412" s="1">
        <v>42456.269444444442</v>
      </c>
      <c r="E412" t="s">
        <v>15</v>
      </c>
      <c r="F412" t="s">
        <v>92</v>
      </c>
      <c r="G412">
        <v>-122.321686</v>
      </c>
      <c r="H412">
        <v>47.603873999999998</v>
      </c>
      <c r="I412" t="s">
        <v>506</v>
      </c>
      <c r="J412">
        <f t="shared" si="6"/>
        <v>1</v>
      </c>
      <c r="K412">
        <v>2</v>
      </c>
    </row>
    <row r="413" spans="1:11" x14ac:dyDescent="0.25">
      <c r="A413">
        <v>1702739</v>
      </c>
      <c r="B413">
        <v>280</v>
      </c>
      <c r="C413" t="s">
        <v>22</v>
      </c>
      <c r="D413" s="1">
        <v>42456.279861111114</v>
      </c>
      <c r="E413" t="s">
        <v>71</v>
      </c>
      <c r="F413" t="s">
        <v>72</v>
      </c>
      <c r="G413">
        <v>-122.39476999999999</v>
      </c>
      <c r="H413">
        <v>47.542572</v>
      </c>
      <c r="I413" t="s">
        <v>507</v>
      </c>
      <c r="J413">
        <f t="shared" si="6"/>
        <v>1</v>
      </c>
      <c r="K413">
        <v>0</v>
      </c>
    </row>
    <row r="414" spans="1:11" x14ac:dyDescent="0.25">
      <c r="A414">
        <v>1702740</v>
      </c>
      <c r="B414">
        <v>281</v>
      </c>
      <c r="C414" t="s">
        <v>26</v>
      </c>
      <c r="D414" s="1">
        <v>42456.271527777775</v>
      </c>
      <c r="E414" t="s">
        <v>145</v>
      </c>
      <c r="F414" t="s">
        <v>314</v>
      </c>
      <c r="G414">
        <v>-122.36273</v>
      </c>
      <c r="H414">
        <v>47.701393000000003</v>
      </c>
      <c r="I414" t="s">
        <v>440</v>
      </c>
      <c r="J414">
        <f t="shared" si="6"/>
        <v>5</v>
      </c>
      <c r="K414">
        <v>3</v>
      </c>
    </row>
    <row r="415" spans="1:11" x14ac:dyDescent="0.25">
      <c r="A415">
        <v>1702741</v>
      </c>
      <c r="B415">
        <v>280</v>
      </c>
      <c r="C415" t="s">
        <v>22</v>
      </c>
      <c r="D415" s="1">
        <v>42456.28125</v>
      </c>
      <c r="E415" t="s">
        <v>64</v>
      </c>
      <c r="F415" t="s">
        <v>215</v>
      </c>
      <c r="G415">
        <v>-122.41262</v>
      </c>
      <c r="H415">
        <v>47.57855</v>
      </c>
      <c r="I415" t="s">
        <v>508</v>
      </c>
      <c r="J415">
        <f t="shared" si="6"/>
        <v>1</v>
      </c>
      <c r="K415">
        <v>4</v>
      </c>
    </row>
    <row r="416" spans="1:11" x14ac:dyDescent="0.25">
      <c r="A416">
        <v>1702742</v>
      </c>
      <c r="B416">
        <v>71</v>
      </c>
      <c r="C416" t="s">
        <v>142</v>
      </c>
      <c r="D416" s="1">
        <v>42456.274305555555</v>
      </c>
      <c r="E416" t="s">
        <v>78</v>
      </c>
      <c r="F416" t="s">
        <v>113</v>
      </c>
      <c r="G416">
        <v>-122.35002</v>
      </c>
      <c r="H416">
        <v>47.659336000000003</v>
      </c>
      <c r="I416" t="s">
        <v>509</v>
      </c>
      <c r="J416">
        <f t="shared" si="6"/>
        <v>1</v>
      </c>
      <c r="K416">
        <v>1</v>
      </c>
    </row>
    <row r="417" spans="1:11" x14ac:dyDescent="0.25">
      <c r="A417">
        <v>1702743</v>
      </c>
      <c r="B417">
        <v>282</v>
      </c>
      <c r="C417" t="s">
        <v>486</v>
      </c>
      <c r="D417" s="1">
        <v>42456.270833333336</v>
      </c>
      <c r="E417" t="s">
        <v>81</v>
      </c>
      <c r="F417" t="s">
        <v>135</v>
      </c>
      <c r="G417">
        <v>-122.34742</v>
      </c>
      <c r="H417">
        <v>47.615085999999998</v>
      </c>
      <c r="I417" t="s">
        <v>510</v>
      </c>
      <c r="J417">
        <f t="shared" si="6"/>
        <v>2</v>
      </c>
      <c r="K417">
        <v>2</v>
      </c>
    </row>
    <row r="418" spans="1:11" x14ac:dyDescent="0.25">
      <c r="A418">
        <v>1702744</v>
      </c>
      <c r="B418">
        <v>220</v>
      </c>
      <c r="C418" t="s">
        <v>173</v>
      </c>
      <c r="D418" s="1">
        <v>42456.284722222219</v>
      </c>
      <c r="E418" t="s">
        <v>40</v>
      </c>
      <c r="F418" t="s">
        <v>41</v>
      </c>
      <c r="G418">
        <v>-122.31356</v>
      </c>
      <c r="H418">
        <v>47.628410000000002</v>
      </c>
      <c r="I418" t="s">
        <v>511</v>
      </c>
      <c r="J418">
        <f t="shared" si="6"/>
        <v>1</v>
      </c>
      <c r="K418">
        <v>0</v>
      </c>
    </row>
    <row r="419" spans="1:11" x14ac:dyDescent="0.25">
      <c r="A419">
        <v>1702745</v>
      </c>
      <c r="B419">
        <v>450</v>
      </c>
      <c r="C419" t="s">
        <v>266</v>
      </c>
      <c r="D419" s="1">
        <v>42456.286805555559</v>
      </c>
      <c r="E419" t="s">
        <v>29</v>
      </c>
      <c r="F419" t="s">
        <v>30</v>
      </c>
      <c r="G419">
        <v>-122.267365</v>
      </c>
      <c r="H419">
        <v>47.519848000000003</v>
      </c>
      <c r="I419" t="s">
        <v>512</v>
      </c>
      <c r="J419">
        <f t="shared" si="6"/>
        <v>1</v>
      </c>
      <c r="K419">
        <v>2</v>
      </c>
    </row>
    <row r="420" spans="1:11" x14ac:dyDescent="0.25">
      <c r="A420">
        <v>1702746</v>
      </c>
      <c r="B420">
        <v>203</v>
      </c>
      <c r="C420" t="s">
        <v>161</v>
      </c>
      <c r="D420" s="1">
        <v>42456.293055555558</v>
      </c>
      <c r="E420" t="s">
        <v>40</v>
      </c>
      <c r="F420" t="s">
        <v>151</v>
      </c>
      <c r="G420">
        <v>-122.293144</v>
      </c>
      <c r="H420">
        <v>47.623080000000002</v>
      </c>
      <c r="I420" t="s">
        <v>513</v>
      </c>
      <c r="J420">
        <f t="shared" si="6"/>
        <v>1</v>
      </c>
      <c r="K420">
        <v>2</v>
      </c>
    </row>
    <row r="421" spans="1:11" x14ac:dyDescent="0.25">
      <c r="A421">
        <v>1702747</v>
      </c>
      <c r="B421">
        <v>245</v>
      </c>
      <c r="C421" t="s">
        <v>32</v>
      </c>
      <c r="D421" s="1">
        <v>42456.294444444444</v>
      </c>
      <c r="E421" t="s">
        <v>15</v>
      </c>
      <c r="F421" t="s">
        <v>92</v>
      </c>
      <c r="G421">
        <v>-122.31677999999999</v>
      </c>
      <c r="H421">
        <v>47.605885000000001</v>
      </c>
      <c r="I421" t="s">
        <v>514</v>
      </c>
      <c r="J421">
        <f t="shared" si="6"/>
        <v>1</v>
      </c>
      <c r="K421">
        <v>4</v>
      </c>
    </row>
    <row r="422" spans="1:11" x14ac:dyDescent="0.25">
      <c r="A422">
        <v>1702748</v>
      </c>
      <c r="B422">
        <v>245</v>
      </c>
      <c r="C422" t="s">
        <v>32</v>
      </c>
      <c r="D422" s="1">
        <v>42456.293749999997</v>
      </c>
      <c r="E422" t="s">
        <v>130</v>
      </c>
      <c r="F422" t="s">
        <v>290</v>
      </c>
      <c r="G422">
        <v>-122.321915</v>
      </c>
      <c r="H422">
        <v>47.708587999999999</v>
      </c>
      <c r="I422" t="s">
        <v>318</v>
      </c>
      <c r="J422">
        <f t="shared" si="6"/>
        <v>2</v>
      </c>
      <c r="K422">
        <v>4</v>
      </c>
    </row>
    <row r="423" spans="1:11" x14ac:dyDescent="0.25">
      <c r="A423">
        <v>1702749</v>
      </c>
      <c r="B423">
        <v>202</v>
      </c>
      <c r="C423" t="s">
        <v>355</v>
      </c>
      <c r="D423" s="1">
        <v>42456.306250000001</v>
      </c>
      <c r="E423" t="s">
        <v>43</v>
      </c>
      <c r="F423" t="s">
        <v>44</v>
      </c>
      <c r="G423">
        <v>-122.32441</v>
      </c>
      <c r="H423">
        <v>47.596671999999998</v>
      </c>
      <c r="I423" t="s">
        <v>515</v>
      </c>
      <c r="J423">
        <f t="shared" si="6"/>
        <v>1</v>
      </c>
      <c r="K423">
        <v>2</v>
      </c>
    </row>
    <row r="424" spans="1:11" x14ac:dyDescent="0.25">
      <c r="A424">
        <v>1702750</v>
      </c>
      <c r="B424">
        <v>245</v>
      </c>
      <c r="C424" t="s">
        <v>32</v>
      </c>
      <c r="D424" s="1">
        <v>42456.304861111108</v>
      </c>
      <c r="E424" t="s">
        <v>130</v>
      </c>
      <c r="F424" t="s">
        <v>272</v>
      </c>
      <c r="G424">
        <v>-122.29703000000001</v>
      </c>
      <c r="H424">
        <v>47.716248</v>
      </c>
      <c r="I424" t="s">
        <v>516</v>
      </c>
      <c r="J424">
        <f t="shared" si="6"/>
        <v>1</v>
      </c>
      <c r="K424">
        <v>4</v>
      </c>
    </row>
    <row r="425" spans="1:11" x14ac:dyDescent="0.25">
      <c r="A425">
        <v>1702751</v>
      </c>
      <c r="B425">
        <v>250</v>
      </c>
      <c r="C425" t="s">
        <v>59</v>
      </c>
      <c r="D425" s="1">
        <v>42456.314583333333</v>
      </c>
      <c r="E425" t="s">
        <v>81</v>
      </c>
      <c r="F425" t="s">
        <v>135</v>
      </c>
      <c r="G425">
        <v>-122.34921</v>
      </c>
      <c r="H425">
        <v>47.61497</v>
      </c>
      <c r="I425" t="s">
        <v>517</v>
      </c>
      <c r="J425">
        <f t="shared" si="6"/>
        <v>2</v>
      </c>
      <c r="K425">
        <v>3</v>
      </c>
    </row>
    <row r="426" spans="1:11" x14ac:dyDescent="0.25">
      <c r="A426">
        <v>1702752</v>
      </c>
      <c r="B426">
        <v>201</v>
      </c>
      <c r="C426" t="s">
        <v>36</v>
      </c>
      <c r="D426" s="1">
        <v>42456.315972222219</v>
      </c>
      <c r="E426" t="s">
        <v>95</v>
      </c>
      <c r="F426" t="s">
        <v>96</v>
      </c>
      <c r="G426">
        <v>-122.28745000000001</v>
      </c>
      <c r="H426">
        <v>47.662888000000002</v>
      </c>
      <c r="I426" t="s">
        <v>518</v>
      </c>
      <c r="J426">
        <f t="shared" si="6"/>
        <v>1</v>
      </c>
      <c r="K426">
        <v>1</v>
      </c>
    </row>
    <row r="427" spans="1:11" x14ac:dyDescent="0.25">
      <c r="A427">
        <v>1702753</v>
      </c>
      <c r="B427">
        <v>161</v>
      </c>
      <c r="C427" t="s">
        <v>35</v>
      </c>
      <c r="D427" s="1">
        <v>42456.323611111111</v>
      </c>
      <c r="E427" t="s">
        <v>43</v>
      </c>
      <c r="F427" t="s">
        <v>102</v>
      </c>
      <c r="G427">
        <v>-122.33304</v>
      </c>
      <c r="H427">
        <v>47.604553000000003</v>
      </c>
      <c r="I427" t="s">
        <v>519</v>
      </c>
      <c r="J427">
        <f t="shared" si="6"/>
        <v>1</v>
      </c>
      <c r="K427">
        <v>3</v>
      </c>
    </row>
    <row r="428" spans="1:11" x14ac:dyDescent="0.25">
      <c r="A428">
        <v>1702754</v>
      </c>
      <c r="B428">
        <v>201</v>
      </c>
      <c r="C428" t="s">
        <v>36</v>
      </c>
      <c r="D428" s="1">
        <v>42456.321527777778</v>
      </c>
      <c r="E428" t="s">
        <v>11</v>
      </c>
      <c r="F428" t="s">
        <v>12</v>
      </c>
      <c r="G428">
        <v>-122.259224</v>
      </c>
      <c r="H428">
        <v>47.546140000000001</v>
      </c>
      <c r="I428" t="s">
        <v>520</v>
      </c>
      <c r="J428">
        <f t="shared" si="6"/>
        <v>1</v>
      </c>
      <c r="K428">
        <v>2</v>
      </c>
    </row>
    <row r="429" spans="1:11" x14ac:dyDescent="0.25">
      <c r="A429">
        <v>1702755</v>
      </c>
      <c r="B429">
        <v>63</v>
      </c>
      <c r="C429" t="s">
        <v>87</v>
      </c>
      <c r="D429" s="1">
        <v>42456.321527777778</v>
      </c>
      <c r="E429" t="s">
        <v>71</v>
      </c>
      <c r="F429" t="s">
        <v>126</v>
      </c>
      <c r="G429">
        <v>-122.3685</v>
      </c>
      <c r="H429">
        <v>47.532803000000001</v>
      </c>
      <c r="I429" t="s">
        <v>521</v>
      </c>
      <c r="J429">
        <f t="shared" si="6"/>
        <v>1</v>
      </c>
      <c r="K429">
        <v>1</v>
      </c>
    </row>
    <row r="430" spans="1:11" x14ac:dyDescent="0.25">
      <c r="A430">
        <v>1702756</v>
      </c>
      <c r="B430">
        <v>161</v>
      </c>
      <c r="C430" t="s">
        <v>35</v>
      </c>
      <c r="D430" s="1">
        <v>42456.331250000003</v>
      </c>
      <c r="E430" t="s">
        <v>67</v>
      </c>
      <c r="F430" t="s">
        <v>193</v>
      </c>
      <c r="G430">
        <v>-122.335014</v>
      </c>
      <c r="H430">
        <v>47.610909999999997</v>
      </c>
      <c r="I430" t="s">
        <v>522</v>
      </c>
      <c r="J430">
        <f t="shared" si="6"/>
        <v>1</v>
      </c>
      <c r="K430">
        <v>2</v>
      </c>
    </row>
    <row r="431" spans="1:11" x14ac:dyDescent="0.25">
      <c r="A431">
        <v>1702757</v>
      </c>
      <c r="B431">
        <v>63</v>
      </c>
      <c r="C431" t="s">
        <v>87</v>
      </c>
      <c r="D431" s="1">
        <v>42456.32916666667</v>
      </c>
      <c r="E431" t="s">
        <v>29</v>
      </c>
      <c r="F431" t="s">
        <v>156</v>
      </c>
      <c r="G431">
        <v>-122.294785</v>
      </c>
      <c r="H431">
        <v>47.536667000000001</v>
      </c>
      <c r="I431" t="s">
        <v>523</v>
      </c>
      <c r="J431">
        <f t="shared" si="6"/>
        <v>1</v>
      </c>
      <c r="K431">
        <v>3</v>
      </c>
    </row>
    <row r="432" spans="1:11" x14ac:dyDescent="0.25">
      <c r="A432">
        <v>1702758</v>
      </c>
      <c r="B432">
        <v>280</v>
      </c>
      <c r="C432" t="s">
        <v>22</v>
      </c>
      <c r="D432" s="1">
        <v>42456.343055555553</v>
      </c>
      <c r="E432" t="s">
        <v>78</v>
      </c>
      <c r="F432" t="s">
        <v>79</v>
      </c>
      <c r="G432">
        <v>-122.38055</v>
      </c>
      <c r="H432">
        <v>47.669449999999998</v>
      </c>
      <c r="I432" t="s">
        <v>524</v>
      </c>
      <c r="J432">
        <f t="shared" si="6"/>
        <v>1</v>
      </c>
      <c r="K432">
        <v>1</v>
      </c>
    </row>
    <row r="433" spans="1:11" x14ac:dyDescent="0.25">
      <c r="A433">
        <v>1702759</v>
      </c>
      <c r="B433">
        <v>470</v>
      </c>
      <c r="C433" t="s">
        <v>14</v>
      </c>
      <c r="D433" s="1">
        <v>42456.334722222222</v>
      </c>
      <c r="E433" t="s">
        <v>64</v>
      </c>
      <c r="F433" t="s">
        <v>65</v>
      </c>
      <c r="G433">
        <v>-122.38678</v>
      </c>
      <c r="H433">
        <v>47.561104</v>
      </c>
      <c r="I433" t="s">
        <v>525</v>
      </c>
      <c r="J433">
        <f t="shared" si="6"/>
        <v>1</v>
      </c>
      <c r="K433">
        <v>3</v>
      </c>
    </row>
    <row r="434" spans="1:11" x14ac:dyDescent="0.25">
      <c r="A434">
        <v>1702760</v>
      </c>
      <c r="B434">
        <v>280</v>
      </c>
      <c r="C434" t="s">
        <v>22</v>
      </c>
      <c r="D434" s="1">
        <v>42456.343055555553</v>
      </c>
      <c r="E434" t="s">
        <v>47</v>
      </c>
      <c r="F434" t="s">
        <v>90</v>
      </c>
      <c r="G434">
        <v>-122.31975</v>
      </c>
      <c r="H434">
        <v>47.621082000000001</v>
      </c>
      <c r="I434" t="s">
        <v>526</v>
      </c>
      <c r="J434">
        <f t="shared" si="6"/>
        <v>1</v>
      </c>
      <c r="K434">
        <v>2</v>
      </c>
    </row>
    <row r="435" spans="1:11" x14ac:dyDescent="0.25">
      <c r="A435">
        <v>1702761</v>
      </c>
      <c r="B435">
        <v>280</v>
      </c>
      <c r="C435" t="s">
        <v>22</v>
      </c>
      <c r="D435" s="1">
        <v>42456.352777777778</v>
      </c>
      <c r="E435" t="s">
        <v>95</v>
      </c>
      <c r="F435" t="s">
        <v>98</v>
      </c>
      <c r="G435">
        <v>-122.313225</v>
      </c>
      <c r="H435">
        <v>47.657573999999997</v>
      </c>
      <c r="I435" t="s">
        <v>527</v>
      </c>
      <c r="J435">
        <f t="shared" si="6"/>
        <v>1</v>
      </c>
      <c r="K435">
        <v>2</v>
      </c>
    </row>
    <row r="436" spans="1:11" x14ac:dyDescent="0.25">
      <c r="A436">
        <v>1702762</v>
      </c>
      <c r="B436">
        <v>460</v>
      </c>
      <c r="C436" t="s">
        <v>18</v>
      </c>
      <c r="D436" s="1">
        <v>42456.351388888892</v>
      </c>
      <c r="E436" t="s">
        <v>71</v>
      </c>
      <c r="F436" t="s">
        <v>126</v>
      </c>
      <c r="G436">
        <v>-122.32905599999999</v>
      </c>
      <c r="H436">
        <v>47.578766000000002</v>
      </c>
      <c r="I436" t="s">
        <v>528</v>
      </c>
      <c r="J436">
        <f t="shared" si="6"/>
        <v>1</v>
      </c>
      <c r="K436">
        <v>2</v>
      </c>
    </row>
    <row r="437" spans="1:11" x14ac:dyDescent="0.25">
      <c r="A437">
        <v>1702763</v>
      </c>
      <c r="B437">
        <v>161</v>
      </c>
      <c r="C437" t="s">
        <v>35</v>
      </c>
      <c r="D437" s="1">
        <v>42456.354861111111</v>
      </c>
      <c r="E437" t="s">
        <v>23</v>
      </c>
      <c r="F437" t="s">
        <v>88</v>
      </c>
      <c r="G437">
        <v>-122.35673</v>
      </c>
      <c r="H437">
        <v>47.622692000000001</v>
      </c>
      <c r="I437" t="s">
        <v>529</v>
      </c>
      <c r="J437">
        <f t="shared" si="6"/>
        <v>1</v>
      </c>
      <c r="K437">
        <v>4</v>
      </c>
    </row>
    <row r="438" spans="1:11" x14ac:dyDescent="0.25">
      <c r="A438">
        <v>1702764</v>
      </c>
      <c r="B438">
        <v>280</v>
      </c>
      <c r="C438" t="s">
        <v>22</v>
      </c>
      <c r="D438" s="1">
        <v>42456.354166666664</v>
      </c>
      <c r="E438" t="s">
        <v>95</v>
      </c>
      <c r="F438" t="s">
        <v>98</v>
      </c>
      <c r="G438">
        <v>-122.31780000000001</v>
      </c>
      <c r="H438">
        <v>47.657513000000002</v>
      </c>
      <c r="I438" t="s">
        <v>530</v>
      </c>
      <c r="J438">
        <f t="shared" si="6"/>
        <v>1</v>
      </c>
      <c r="K438">
        <v>4</v>
      </c>
    </row>
    <row r="439" spans="1:11" x14ac:dyDescent="0.25">
      <c r="A439">
        <v>1702765</v>
      </c>
      <c r="B439">
        <v>281</v>
      </c>
      <c r="C439" t="s">
        <v>26</v>
      </c>
      <c r="D439" s="1">
        <v>42456.357638888891</v>
      </c>
      <c r="E439" t="s">
        <v>52</v>
      </c>
      <c r="F439" t="s">
        <v>120</v>
      </c>
      <c r="G439">
        <v>-122.35807</v>
      </c>
      <c r="H439">
        <v>47.698753000000004</v>
      </c>
      <c r="I439" t="s">
        <v>531</v>
      </c>
      <c r="J439">
        <f t="shared" si="6"/>
        <v>1</v>
      </c>
      <c r="K439">
        <v>2</v>
      </c>
    </row>
    <row r="440" spans="1:11" x14ac:dyDescent="0.25">
      <c r="A440">
        <v>1702766</v>
      </c>
      <c r="B440">
        <v>460</v>
      </c>
      <c r="C440" t="s">
        <v>18</v>
      </c>
      <c r="D440" s="1">
        <v>42456.370138888888</v>
      </c>
      <c r="E440" t="s">
        <v>29</v>
      </c>
      <c r="F440" t="s">
        <v>55</v>
      </c>
      <c r="G440">
        <v>-122.26470999999999</v>
      </c>
      <c r="H440">
        <v>47.525565999999998</v>
      </c>
      <c r="I440" t="s">
        <v>532</v>
      </c>
      <c r="J440">
        <f t="shared" si="6"/>
        <v>1</v>
      </c>
      <c r="K440">
        <v>4</v>
      </c>
    </row>
    <row r="441" spans="1:11" x14ac:dyDescent="0.25">
      <c r="A441">
        <v>1702767</v>
      </c>
      <c r="B441">
        <v>470</v>
      </c>
      <c r="C441" t="s">
        <v>14</v>
      </c>
      <c r="D441" s="1">
        <v>42456.369444444441</v>
      </c>
      <c r="E441" t="s">
        <v>78</v>
      </c>
      <c r="F441" t="s">
        <v>113</v>
      </c>
      <c r="G441">
        <v>-122.35129999999999</v>
      </c>
      <c r="H441">
        <v>47.650280000000002</v>
      </c>
      <c r="I441" t="s">
        <v>533</v>
      </c>
      <c r="J441">
        <f t="shared" si="6"/>
        <v>1</v>
      </c>
      <c r="K441">
        <v>3</v>
      </c>
    </row>
    <row r="442" spans="1:11" x14ac:dyDescent="0.25">
      <c r="A442">
        <v>1702768</v>
      </c>
      <c r="B442">
        <v>460</v>
      </c>
      <c r="C442" t="s">
        <v>18</v>
      </c>
      <c r="D442" s="1">
        <v>42456.367361111108</v>
      </c>
      <c r="E442" t="s">
        <v>71</v>
      </c>
      <c r="F442" t="s">
        <v>126</v>
      </c>
      <c r="G442">
        <v>-122.372086</v>
      </c>
      <c r="H442">
        <v>47.629435999999998</v>
      </c>
      <c r="I442" t="s">
        <v>534</v>
      </c>
      <c r="J442">
        <f t="shared" si="6"/>
        <v>2</v>
      </c>
      <c r="K442">
        <v>2</v>
      </c>
    </row>
    <row r="443" spans="1:11" x14ac:dyDescent="0.25">
      <c r="A443">
        <v>1702769</v>
      </c>
      <c r="B443">
        <v>161</v>
      </c>
      <c r="C443" t="s">
        <v>35</v>
      </c>
      <c r="D443" s="1">
        <v>42456.369444444441</v>
      </c>
      <c r="E443" t="s">
        <v>23</v>
      </c>
      <c r="F443" t="s">
        <v>88</v>
      </c>
      <c r="G443">
        <v>-122.34692</v>
      </c>
      <c r="H443">
        <v>47.624560000000002</v>
      </c>
      <c r="I443" t="s">
        <v>535</v>
      </c>
      <c r="J443">
        <f t="shared" si="6"/>
        <v>1</v>
      </c>
      <c r="K443">
        <v>2</v>
      </c>
    </row>
    <row r="444" spans="1:11" x14ac:dyDescent="0.25">
      <c r="A444">
        <v>1702770</v>
      </c>
      <c r="B444">
        <v>440</v>
      </c>
      <c r="C444" t="s">
        <v>334</v>
      </c>
      <c r="D444" s="1">
        <v>42456.374305555553</v>
      </c>
      <c r="E444" t="s">
        <v>71</v>
      </c>
      <c r="F444" t="s">
        <v>110</v>
      </c>
      <c r="G444">
        <v>-122.34453000000001</v>
      </c>
      <c r="H444">
        <v>47.690925999999997</v>
      </c>
      <c r="I444" t="s">
        <v>536</v>
      </c>
      <c r="J444">
        <f t="shared" si="6"/>
        <v>2</v>
      </c>
      <c r="K444">
        <v>0</v>
      </c>
    </row>
    <row r="445" spans="1:11" x14ac:dyDescent="0.25">
      <c r="A445">
        <v>1702771</v>
      </c>
      <c r="B445">
        <v>161</v>
      </c>
      <c r="C445" t="s">
        <v>35</v>
      </c>
      <c r="D445" s="1">
        <v>42456.375</v>
      </c>
      <c r="E445" t="s">
        <v>71</v>
      </c>
      <c r="F445" t="s">
        <v>72</v>
      </c>
      <c r="G445">
        <v>-122.35800999999999</v>
      </c>
      <c r="H445">
        <v>47.625152999999997</v>
      </c>
      <c r="I445" t="s">
        <v>537</v>
      </c>
      <c r="J445">
        <f t="shared" si="6"/>
        <v>1</v>
      </c>
      <c r="K445">
        <v>0</v>
      </c>
    </row>
    <row r="446" spans="1:11" x14ac:dyDescent="0.25">
      <c r="A446">
        <v>1702772</v>
      </c>
      <c r="B446">
        <v>280</v>
      </c>
      <c r="C446" t="s">
        <v>22</v>
      </c>
      <c r="D446" s="1">
        <v>42456.370138888888</v>
      </c>
      <c r="E446" t="s">
        <v>23</v>
      </c>
      <c r="F446" t="s">
        <v>24</v>
      </c>
      <c r="G446">
        <v>-122.3929</v>
      </c>
      <c r="H446">
        <v>47.654133000000002</v>
      </c>
      <c r="I446" t="s">
        <v>538</v>
      </c>
      <c r="J446">
        <f t="shared" si="6"/>
        <v>1</v>
      </c>
      <c r="K446">
        <v>3</v>
      </c>
    </row>
    <row r="447" spans="1:11" x14ac:dyDescent="0.25">
      <c r="A447">
        <v>1702773</v>
      </c>
      <c r="B447">
        <v>220</v>
      </c>
      <c r="C447" t="s">
        <v>173</v>
      </c>
      <c r="D447" s="1">
        <v>42456.373611111114</v>
      </c>
      <c r="E447" t="s">
        <v>43</v>
      </c>
      <c r="F447" t="s">
        <v>218</v>
      </c>
      <c r="G447">
        <v>-122.331085</v>
      </c>
      <c r="H447">
        <v>47.602412999999999</v>
      </c>
      <c r="I447" t="s">
        <v>433</v>
      </c>
      <c r="J447">
        <f t="shared" si="6"/>
        <v>8</v>
      </c>
      <c r="K447">
        <v>3</v>
      </c>
    </row>
    <row r="448" spans="1:11" x14ac:dyDescent="0.25">
      <c r="A448">
        <v>1702774</v>
      </c>
      <c r="B448">
        <v>161</v>
      </c>
      <c r="C448" t="s">
        <v>35</v>
      </c>
      <c r="D448" s="1">
        <v>42456.380555555559</v>
      </c>
      <c r="E448" t="s">
        <v>71</v>
      </c>
      <c r="F448" t="s">
        <v>126</v>
      </c>
      <c r="G448">
        <v>-122.33732000000001</v>
      </c>
      <c r="H448">
        <v>47.611319999999999</v>
      </c>
      <c r="I448" t="s">
        <v>223</v>
      </c>
      <c r="J448">
        <f t="shared" si="6"/>
        <v>7</v>
      </c>
      <c r="K448">
        <v>1</v>
      </c>
    </row>
    <row r="449" spans="1:11" x14ac:dyDescent="0.25">
      <c r="A449">
        <v>1702775</v>
      </c>
      <c r="B449">
        <v>281</v>
      </c>
      <c r="C449" t="s">
        <v>26</v>
      </c>
      <c r="D449" s="1">
        <v>42456.380555555559</v>
      </c>
      <c r="E449" t="s">
        <v>104</v>
      </c>
      <c r="F449" t="s">
        <v>184</v>
      </c>
      <c r="G449">
        <v>-122.36932</v>
      </c>
      <c r="H449">
        <v>47.539185000000003</v>
      </c>
      <c r="I449" t="s">
        <v>539</v>
      </c>
      <c r="J449">
        <f t="shared" si="6"/>
        <v>1</v>
      </c>
      <c r="K449">
        <v>1</v>
      </c>
    </row>
    <row r="450" spans="1:11" x14ac:dyDescent="0.25">
      <c r="A450">
        <v>1702776</v>
      </c>
      <c r="B450">
        <v>201</v>
      </c>
      <c r="C450" t="s">
        <v>36</v>
      </c>
      <c r="D450" s="1">
        <v>42456.384027777778</v>
      </c>
      <c r="E450" t="s">
        <v>23</v>
      </c>
      <c r="F450" t="s">
        <v>189</v>
      </c>
      <c r="G450">
        <v>-122.37626</v>
      </c>
      <c r="H450">
        <v>47.651252999999997</v>
      </c>
      <c r="I450" t="s">
        <v>540</v>
      </c>
      <c r="J450">
        <f t="shared" ref="J450:J513" si="7">COUNTIF($I$2:$I$1046,I450)</f>
        <v>1</v>
      </c>
      <c r="K450">
        <v>3</v>
      </c>
    </row>
    <row r="451" spans="1:11" x14ac:dyDescent="0.25">
      <c r="A451">
        <v>1702777</v>
      </c>
      <c r="B451">
        <v>161</v>
      </c>
      <c r="C451" t="s">
        <v>35</v>
      </c>
      <c r="D451" s="1">
        <v>42456.39166666667</v>
      </c>
      <c r="E451" t="s">
        <v>145</v>
      </c>
      <c r="F451" t="s">
        <v>146</v>
      </c>
      <c r="G451">
        <v>-122.34456</v>
      </c>
      <c r="H451">
        <v>47.693824999999997</v>
      </c>
      <c r="I451" t="s">
        <v>425</v>
      </c>
      <c r="J451">
        <f t="shared" si="7"/>
        <v>2</v>
      </c>
      <c r="K451">
        <v>3</v>
      </c>
    </row>
    <row r="452" spans="1:11" x14ac:dyDescent="0.25">
      <c r="A452">
        <v>1702778</v>
      </c>
      <c r="B452">
        <v>245</v>
      </c>
      <c r="C452" t="s">
        <v>32</v>
      </c>
      <c r="D452" s="1">
        <v>42456.386111111111</v>
      </c>
      <c r="E452" t="s">
        <v>43</v>
      </c>
      <c r="F452" t="s">
        <v>44</v>
      </c>
      <c r="G452">
        <v>-122.32701</v>
      </c>
      <c r="H452">
        <v>47.599193999999997</v>
      </c>
      <c r="I452" t="s">
        <v>541</v>
      </c>
      <c r="J452">
        <f t="shared" si="7"/>
        <v>1</v>
      </c>
      <c r="K452">
        <v>3</v>
      </c>
    </row>
    <row r="453" spans="1:11" x14ac:dyDescent="0.25">
      <c r="A453">
        <v>1702779</v>
      </c>
      <c r="B453">
        <v>242</v>
      </c>
      <c r="C453" t="s">
        <v>10</v>
      </c>
      <c r="D453" s="1">
        <v>42456.381944444445</v>
      </c>
      <c r="E453" t="s">
        <v>71</v>
      </c>
      <c r="F453" t="s">
        <v>110</v>
      </c>
      <c r="G453">
        <v>-122.28564</v>
      </c>
      <c r="H453">
        <v>47.546055000000003</v>
      </c>
      <c r="I453" t="s">
        <v>269</v>
      </c>
      <c r="J453">
        <f t="shared" si="7"/>
        <v>2</v>
      </c>
      <c r="K453">
        <v>1</v>
      </c>
    </row>
    <row r="454" spans="1:11" x14ac:dyDescent="0.25">
      <c r="A454">
        <v>1702780</v>
      </c>
      <c r="B454">
        <v>245</v>
      </c>
      <c r="C454" t="s">
        <v>32</v>
      </c>
      <c r="D454" s="1">
        <v>42456.392361111109</v>
      </c>
      <c r="E454" t="s">
        <v>145</v>
      </c>
      <c r="F454" t="s">
        <v>314</v>
      </c>
      <c r="G454">
        <v>-122.36273</v>
      </c>
      <c r="H454">
        <v>47.701393000000003</v>
      </c>
      <c r="I454" t="s">
        <v>440</v>
      </c>
      <c r="J454">
        <f t="shared" si="7"/>
        <v>5</v>
      </c>
      <c r="K454">
        <v>2</v>
      </c>
    </row>
    <row r="455" spans="1:11" x14ac:dyDescent="0.25">
      <c r="A455">
        <v>1702781</v>
      </c>
      <c r="B455">
        <v>245</v>
      </c>
      <c r="C455" t="s">
        <v>32</v>
      </c>
      <c r="D455" s="1">
        <v>42456.394444444442</v>
      </c>
      <c r="E455" t="s">
        <v>71</v>
      </c>
      <c r="F455" t="s">
        <v>110</v>
      </c>
      <c r="G455">
        <v>-122.36273</v>
      </c>
      <c r="H455">
        <v>47.701393000000003</v>
      </c>
      <c r="I455" t="s">
        <v>440</v>
      </c>
      <c r="J455">
        <f t="shared" si="7"/>
        <v>5</v>
      </c>
      <c r="K455">
        <v>2</v>
      </c>
    </row>
    <row r="456" spans="1:11" x14ac:dyDescent="0.25">
      <c r="A456">
        <v>1702782</v>
      </c>
      <c r="B456">
        <v>201</v>
      </c>
      <c r="C456" t="s">
        <v>36</v>
      </c>
      <c r="D456" s="1">
        <v>42456.395138888889</v>
      </c>
      <c r="E456" t="s">
        <v>23</v>
      </c>
      <c r="F456" t="s">
        <v>24</v>
      </c>
      <c r="G456">
        <v>-122.41638</v>
      </c>
      <c r="H456">
        <v>47.646552999999997</v>
      </c>
      <c r="I456" t="s">
        <v>542</v>
      </c>
      <c r="J456">
        <f t="shared" si="7"/>
        <v>1</v>
      </c>
      <c r="K456">
        <v>1</v>
      </c>
    </row>
    <row r="457" spans="1:11" x14ac:dyDescent="0.25">
      <c r="A457">
        <v>1702783</v>
      </c>
      <c r="B457">
        <v>40</v>
      </c>
      <c r="C457" t="s">
        <v>119</v>
      </c>
      <c r="D457" s="1">
        <v>42456.399305555555</v>
      </c>
      <c r="E457" t="s">
        <v>52</v>
      </c>
      <c r="F457" t="s">
        <v>120</v>
      </c>
      <c r="G457">
        <v>-122.351974</v>
      </c>
      <c r="H457">
        <v>47.690586000000003</v>
      </c>
      <c r="I457" t="s">
        <v>543</v>
      </c>
      <c r="J457">
        <f t="shared" si="7"/>
        <v>1</v>
      </c>
      <c r="K457">
        <v>1</v>
      </c>
    </row>
    <row r="458" spans="1:11" x14ac:dyDescent="0.25">
      <c r="A458">
        <v>1702784</v>
      </c>
      <c r="B458">
        <v>161</v>
      </c>
      <c r="C458" t="s">
        <v>35</v>
      </c>
      <c r="D458" s="1">
        <v>42456.400694444441</v>
      </c>
      <c r="E458" t="s">
        <v>67</v>
      </c>
      <c r="F458" t="s">
        <v>68</v>
      </c>
      <c r="G458">
        <v>-122.33381</v>
      </c>
      <c r="H458">
        <v>47.612102999999998</v>
      </c>
      <c r="I458" t="s">
        <v>544</v>
      </c>
      <c r="J458">
        <f t="shared" si="7"/>
        <v>3</v>
      </c>
      <c r="K458">
        <v>4</v>
      </c>
    </row>
    <row r="459" spans="1:11" x14ac:dyDescent="0.25">
      <c r="A459">
        <v>1702785</v>
      </c>
      <c r="B459">
        <v>470</v>
      </c>
      <c r="C459" t="s">
        <v>14</v>
      </c>
      <c r="D459" s="1">
        <v>42456.398611111108</v>
      </c>
      <c r="E459" t="s">
        <v>95</v>
      </c>
      <c r="F459" t="s">
        <v>98</v>
      </c>
      <c r="G459">
        <v>-122.310844</v>
      </c>
      <c r="H459">
        <v>47.662166999999997</v>
      </c>
      <c r="I459" t="s">
        <v>545</v>
      </c>
      <c r="J459">
        <f t="shared" si="7"/>
        <v>1</v>
      </c>
      <c r="K459">
        <v>2</v>
      </c>
    </row>
    <row r="460" spans="1:11" x14ac:dyDescent="0.25">
      <c r="A460">
        <v>1702786</v>
      </c>
      <c r="B460">
        <v>40</v>
      </c>
      <c r="C460" t="s">
        <v>119</v>
      </c>
      <c r="D460" s="1">
        <v>42456.40902777778</v>
      </c>
      <c r="E460" t="s">
        <v>81</v>
      </c>
      <c r="F460" t="s">
        <v>82</v>
      </c>
      <c r="G460">
        <v>-122.33875</v>
      </c>
      <c r="H460">
        <v>47.615819999999999</v>
      </c>
      <c r="I460" t="s">
        <v>546</v>
      </c>
      <c r="J460">
        <f t="shared" si="7"/>
        <v>1</v>
      </c>
      <c r="K460">
        <v>4</v>
      </c>
    </row>
    <row r="461" spans="1:11" x14ac:dyDescent="0.25">
      <c r="A461">
        <v>1702787</v>
      </c>
      <c r="B461">
        <v>330</v>
      </c>
      <c r="C461" t="s">
        <v>547</v>
      </c>
      <c r="D461" s="1">
        <v>42456.413194444445</v>
      </c>
      <c r="E461" t="s">
        <v>11</v>
      </c>
      <c r="F461" t="s">
        <v>12</v>
      </c>
      <c r="G461">
        <v>-122.26630400000001</v>
      </c>
      <c r="H461">
        <v>47.560608000000002</v>
      </c>
      <c r="I461" t="s">
        <v>548</v>
      </c>
      <c r="J461">
        <f t="shared" si="7"/>
        <v>1</v>
      </c>
      <c r="K461">
        <v>2</v>
      </c>
    </row>
    <row r="462" spans="1:11" x14ac:dyDescent="0.25">
      <c r="A462">
        <v>1702788</v>
      </c>
      <c r="B462">
        <v>203</v>
      </c>
      <c r="C462" t="s">
        <v>161</v>
      </c>
      <c r="D462" s="1">
        <v>42456.421527777777</v>
      </c>
      <c r="E462" t="s">
        <v>52</v>
      </c>
      <c r="F462" t="s">
        <v>120</v>
      </c>
      <c r="G462">
        <v>-122.3768</v>
      </c>
      <c r="H462">
        <v>47.695377000000001</v>
      </c>
      <c r="I462" t="s">
        <v>549</v>
      </c>
      <c r="J462">
        <f t="shared" si="7"/>
        <v>1</v>
      </c>
      <c r="K462">
        <v>1</v>
      </c>
    </row>
    <row r="463" spans="1:11" x14ac:dyDescent="0.25">
      <c r="A463">
        <v>1702789</v>
      </c>
      <c r="B463">
        <v>280</v>
      </c>
      <c r="C463" t="s">
        <v>22</v>
      </c>
      <c r="D463" s="1">
        <v>42456.420138888891</v>
      </c>
      <c r="E463" t="s">
        <v>104</v>
      </c>
      <c r="F463" t="s">
        <v>181</v>
      </c>
      <c r="G463">
        <v>-122.3578</v>
      </c>
      <c r="H463">
        <v>47.521949999999997</v>
      </c>
      <c r="I463" t="s">
        <v>550</v>
      </c>
      <c r="J463">
        <f t="shared" si="7"/>
        <v>2</v>
      </c>
      <c r="K463">
        <v>3</v>
      </c>
    </row>
    <row r="464" spans="1:11" x14ac:dyDescent="0.25">
      <c r="A464">
        <v>1702790</v>
      </c>
      <c r="B464">
        <v>65</v>
      </c>
      <c r="C464" t="s">
        <v>39</v>
      </c>
      <c r="D464" s="1">
        <v>42456.420138888891</v>
      </c>
      <c r="E464" t="s">
        <v>78</v>
      </c>
      <c r="F464" t="s">
        <v>113</v>
      </c>
      <c r="G464">
        <v>-122.36204499999999</v>
      </c>
      <c r="H464">
        <v>47.665016000000001</v>
      </c>
      <c r="I464" t="s">
        <v>551</v>
      </c>
      <c r="J464">
        <f t="shared" si="7"/>
        <v>1</v>
      </c>
      <c r="K464">
        <v>4</v>
      </c>
    </row>
    <row r="465" spans="1:11" x14ac:dyDescent="0.25">
      <c r="A465">
        <v>1702791</v>
      </c>
      <c r="B465">
        <v>30</v>
      </c>
      <c r="C465" t="s">
        <v>346</v>
      </c>
      <c r="D465" s="1">
        <v>42456.419444444444</v>
      </c>
      <c r="E465" t="s">
        <v>95</v>
      </c>
      <c r="F465" t="s">
        <v>96</v>
      </c>
      <c r="G465">
        <v>-122.26365</v>
      </c>
      <c r="H465">
        <v>47.680743999999997</v>
      </c>
      <c r="I465" t="s">
        <v>251</v>
      </c>
      <c r="J465">
        <f t="shared" si="7"/>
        <v>2</v>
      </c>
      <c r="K465">
        <v>1</v>
      </c>
    </row>
    <row r="466" spans="1:11" x14ac:dyDescent="0.25">
      <c r="A466">
        <v>1702792</v>
      </c>
      <c r="B466">
        <v>161</v>
      </c>
      <c r="C466" t="s">
        <v>35</v>
      </c>
      <c r="D466" s="1">
        <v>42456.427083333336</v>
      </c>
      <c r="E466" t="s">
        <v>47</v>
      </c>
      <c r="F466" t="s">
        <v>177</v>
      </c>
      <c r="G466">
        <v>-122.326385</v>
      </c>
      <c r="H466">
        <v>47.607337999999999</v>
      </c>
      <c r="I466" t="s">
        <v>552</v>
      </c>
      <c r="J466">
        <f t="shared" si="7"/>
        <v>1</v>
      </c>
      <c r="K466">
        <v>3</v>
      </c>
    </row>
    <row r="467" spans="1:11" x14ac:dyDescent="0.25">
      <c r="A467">
        <v>1702793</v>
      </c>
      <c r="B467">
        <v>460</v>
      </c>
      <c r="C467" t="s">
        <v>18</v>
      </c>
      <c r="D467" s="1">
        <v>42456.431250000001</v>
      </c>
      <c r="E467" t="s">
        <v>52</v>
      </c>
      <c r="F467" t="s">
        <v>53</v>
      </c>
      <c r="G467">
        <v>-122.325714</v>
      </c>
      <c r="H467">
        <v>47.675902999999998</v>
      </c>
      <c r="I467" t="s">
        <v>553</v>
      </c>
      <c r="J467">
        <f t="shared" si="7"/>
        <v>1</v>
      </c>
      <c r="K467">
        <v>4</v>
      </c>
    </row>
    <row r="468" spans="1:11" x14ac:dyDescent="0.25">
      <c r="A468">
        <v>1702794</v>
      </c>
      <c r="B468">
        <v>350</v>
      </c>
      <c r="C468" t="s">
        <v>76</v>
      </c>
      <c r="D468" s="1">
        <v>42456.429861111108</v>
      </c>
      <c r="E468" t="s">
        <v>81</v>
      </c>
      <c r="F468" t="s">
        <v>82</v>
      </c>
      <c r="G468">
        <v>-122.34625</v>
      </c>
      <c r="H468">
        <v>47.617905</v>
      </c>
      <c r="I468" t="s">
        <v>554</v>
      </c>
      <c r="J468">
        <f t="shared" si="7"/>
        <v>1</v>
      </c>
      <c r="K468">
        <v>4</v>
      </c>
    </row>
    <row r="469" spans="1:11" x14ac:dyDescent="0.25">
      <c r="A469">
        <v>1702795</v>
      </c>
      <c r="B469">
        <v>200</v>
      </c>
      <c r="C469" t="s">
        <v>187</v>
      </c>
      <c r="D469" s="1">
        <v>42456.432638888888</v>
      </c>
      <c r="E469" t="s">
        <v>78</v>
      </c>
      <c r="F469" t="s">
        <v>79</v>
      </c>
      <c r="G469">
        <v>-122.38267</v>
      </c>
      <c r="H469">
        <v>47.665959999999998</v>
      </c>
      <c r="I469" t="s">
        <v>555</v>
      </c>
      <c r="J469">
        <f t="shared" si="7"/>
        <v>2</v>
      </c>
      <c r="K469">
        <v>1</v>
      </c>
    </row>
    <row r="470" spans="1:11" x14ac:dyDescent="0.25">
      <c r="A470">
        <v>1702796</v>
      </c>
      <c r="B470">
        <v>200</v>
      </c>
      <c r="C470" t="s">
        <v>187</v>
      </c>
      <c r="D470" s="1">
        <v>42456.429166666669</v>
      </c>
      <c r="E470" t="s">
        <v>43</v>
      </c>
      <c r="F470" t="s">
        <v>44</v>
      </c>
      <c r="G470">
        <v>-122.32768</v>
      </c>
      <c r="H470">
        <v>47.596657</v>
      </c>
      <c r="I470" t="s">
        <v>556</v>
      </c>
      <c r="J470">
        <f t="shared" si="7"/>
        <v>3</v>
      </c>
      <c r="K470">
        <v>2</v>
      </c>
    </row>
    <row r="471" spans="1:11" x14ac:dyDescent="0.25">
      <c r="A471">
        <v>1702797</v>
      </c>
      <c r="B471">
        <v>130</v>
      </c>
      <c r="C471" t="s">
        <v>248</v>
      </c>
      <c r="D471" s="1">
        <v>42456.426388888889</v>
      </c>
      <c r="E471" t="s">
        <v>43</v>
      </c>
      <c r="F471" t="s">
        <v>102</v>
      </c>
      <c r="G471">
        <v>-122.3305</v>
      </c>
      <c r="H471">
        <v>47.605125000000001</v>
      </c>
      <c r="I471" t="s">
        <v>557</v>
      </c>
      <c r="J471">
        <f t="shared" si="7"/>
        <v>1</v>
      </c>
      <c r="K471">
        <v>1</v>
      </c>
    </row>
    <row r="472" spans="1:11" x14ac:dyDescent="0.25">
      <c r="A472">
        <v>1702798</v>
      </c>
      <c r="B472">
        <v>245</v>
      </c>
      <c r="C472" t="s">
        <v>32</v>
      </c>
      <c r="D472" s="1">
        <v>42456.433333333334</v>
      </c>
      <c r="E472" t="s">
        <v>43</v>
      </c>
      <c r="F472" t="s">
        <v>218</v>
      </c>
      <c r="G472">
        <v>-122.331085</v>
      </c>
      <c r="H472">
        <v>47.602412999999999</v>
      </c>
      <c r="I472" t="s">
        <v>433</v>
      </c>
      <c r="J472">
        <f t="shared" si="7"/>
        <v>8</v>
      </c>
      <c r="K472">
        <v>1</v>
      </c>
    </row>
    <row r="473" spans="1:11" x14ac:dyDescent="0.25">
      <c r="A473">
        <v>1702799</v>
      </c>
      <c r="B473">
        <v>161</v>
      </c>
      <c r="C473" t="s">
        <v>35</v>
      </c>
      <c r="D473" s="1">
        <v>42456.439583333333</v>
      </c>
      <c r="E473" t="s">
        <v>43</v>
      </c>
      <c r="F473" t="s">
        <v>218</v>
      </c>
      <c r="G473">
        <v>-122.33418</v>
      </c>
      <c r="H473">
        <v>47.601303000000001</v>
      </c>
      <c r="I473" t="s">
        <v>558</v>
      </c>
      <c r="J473">
        <f t="shared" si="7"/>
        <v>2</v>
      </c>
      <c r="K473">
        <v>1</v>
      </c>
    </row>
    <row r="474" spans="1:11" x14ac:dyDescent="0.25">
      <c r="A474">
        <v>1702800</v>
      </c>
      <c r="B474">
        <v>460</v>
      </c>
      <c r="C474" t="s">
        <v>18</v>
      </c>
      <c r="D474" s="1">
        <v>42456.434027777781</v>
      </c>
      <c r="E474" t="s">
        <v>78</v>
      </c>
      <c r="F474" t="s">
        <v>113</v>
      </c>
      <c r="G474">
        <v>-122.35004000000001</v>
      </c>
      <c r="H474">
        <v>47.661766</v>
      </c>
      <c r="I474" t="s">
        <v>559</v>
      </c>
      <c r="J474">
        <f t="shared" si="7"/>
        <v>1</v>
      </c>
      <c r="K474">
        <v>3</v>
      </c>
    </row>
    <row r="475" spans="1:11" x14ac:dyDescent="0.25">
      <c r="A475">
        <v>1702801</v>
      </c>
      <c r="B475">
        <v>40</v>
      </c>
      <c r="C475" t="s">
        <v>119</v>
      </c>
      <c r="D475" s="1">
        <v>42456.430555555555</v>
      </c>
      <c r="E475" t="s">
        <v>64</v>
      </c>
      <c r="F475" t="s">
        <v>215</v>
      </c>
      <c r="G475">
        <v>-122.40097</v>
      </c>
      <c r="H475">
        <v>47.583587999999999</v>
      </c>
      <c r="I475" t="s">
        <v>560</v>
      </c>
      <c r="J475">
        <f t="shared" si="7"/>
        <v>1</v>
      </c>
      <c r="K475">
        <v>1</v>
      </c>
    </row>
    <row r="476" spans="1:11" x14ac:dyDescent="0.25">
      <c r="A476">
        <v>1702802</v>
      </c>
      <c r="B476">
        <v>280</v>
      </c>
      <c r="C476" t="s">
        <v>22</v>
      </c>
      <c r="D476" s="1">
        <v>42456.432638888888</v>
      </c>
      <c r="E476" t="s">
        <v>23</v>
      </c>
      <c r="F476" t="s">
        <v>88</v>
      </c>
      <c r="G476">
        <v>-122.35309599999999</v>
      </c>
      <c r="H476">
        <v>47.618589999999998</v>
      </c>
      <c r="I476" t="s">
        <v>561</v>
      </c>
      <c r="J476">
        <f t="shared" si="7"/>
        <v>1</v>
      </c>
      <c r="K476">
        <v>3</v>
      </c>
    </row>
    <row r="477" spans="1:11" x14ac:dyDescent="0.25">
      <c r="A477">
        <v>1702803</v>
      </c>
      <c r="B477">
        <v>430</v>
      </c>
      <c r="C477" t="s">
        <v>70</v>
      </c>
      <c r="D477" s="1">
        <v>42456.443055555559</v>
      </c>
      <c r="E477" t="s">
        <v>78</v>
      </c>
      <c r="F477" t="s">
        <v>85</v>
      </c>
      <c r="G477">
        <v>-122.33372</v>
      </c>
      <c r="H477">
        <v>47.661385000000003</v>
      </c>
      <c r="I477" t="s">
        <v>562</v>
      </c>
      <c r="J477">
        <f t="shared" si="7"/>
        <v>1</v>
      </c>
      <c r="K477">
        <v>1</v>
      </c>
    </row>
    <row r="478" spans="1:11" x14ac:dyDescent="0.25">
      <c r="A478">
        <v>1702804</v>
      </c>
      <c r="B478">
        <v>372</v>
      </c>
      <c r="C478" t="s">
        <v>84</v>
      </c>
      <c r="D478" s="1">
        <v>42456.451388888891</v>
      </c>
      <c r="E478" t="s">
        <v>145</v>
      </c>
      <c r="F478" t="s">
        <v>314</v>
      </c>
      <c r="G478">
        <v>-122.35956</v>
      </c>
      <c r="H478">
        <v>47.715083999999997</v>
      </c>
      <c r="I478" t="s">
        <v>563</v>
      </c>
      <c r="J478">
        <f t="shared" si="7"/>
        <v>1</v>
      </c>
      <c r="K478">
        <v>2</v>
      </c>
    </row>
    <row r="479" spans="1:11" x14ac:dyDescent="0.25">
      <c r="A479">
        <v>1702805</v>
      </c>
      <c r="B479">
        <v>280</v>
      </c>
      <c r="C479" t="s">
        <v>22</v>
      </c>
      <c r="D479" s="1">
        <v>42456.445833333331</v>
      </c>
      <c r="E479" t="s">
        <v>64</v>
      </c>
      <c r="F479" t="s">
        <v>215</v>
      </c>
      <c r="G479">
        <v>-122.36436</v>
      </c>
      <c r="H479">
        <v>47.568344000000003</v>
      </c>
      <c r="I479" t="s">
        <v>564</v>
      </c>
      <c r="J479">
        <f t="shared" si="7"/>
        <v>1</v>
      </c>
      <c r="K479">
        <v>1</v>
      </c>
    </row>
    <row r="480" spans="1:11" x14ac:dyDescent="0.25">
      <c r="A480">
        <v>1702806</v>
      </c>
      <c r="B480">
        <v>372</v>
      </c>
      <c r="C480" t="s">
        <v>84</v>
      </c>
      <c r="D480" s="1">
        <v>42456.449305555558</v>
      </c>
      <c r="E480" t="s">
        <v>145</v>
      </c>
      <c r="F480" t="s">
        <v>146</v>
      </c>
      <c r="G480">
        <v>-122.334526</v>
      </c>
      <c r="H480">
        <v>47.702330000000003</v>
      </c>
      <c r="I480" t="s">
        <v>565</v>
      </c>
      <c r="J480">
        <f t="shared" si="7"/>
        <v>1</v>
      </c>
      <c r="K480">
        <v>4</v>
      </c>
    </row>
    <row r="481" spans="1:11" x14ac:dyDescent="0.25">
      <c r="A481">
        <v>1702807</v>
      </c>
      <c r="B481">
        <v>245</v>
      </c>
      <c r="C481" t="s">
        <v>32</v>
      </c>
      <c r="D481" s="1">
        <v>42456.450694444444</v>
      </c>
      <c r="E481" t="s">
        <v>67</v>
      </c>
      <c r="F481" t="s">
        <v>100</v>
      </c>
      <c r="G481">
        <v>-122.34287999999999</v>
      </c>
      <c r="H481">
        <v>47.609814</v>
      </c>
      <c r="I481" t="s">
        <v>236</v>
      </c>
      <c r="J481">
        <f t="shared" si="7"/>
        <v>10</v>
      </c>
      <c r="K481">
        <v>2</v>
      </c>
    </row>
    <row r="482" spans="1:11" x14ac:dyDescent="0.25">
      <c r="A482">
        <v>1702808</v>
      </c>
      <c r="B482">
        <v>470</v>
      </c>
      <c r="C482" t="s">
        <v>14</v>
      </c>
      <c r="D482" s="1">
        <v>42456.454861111109</v>
      </c>
      <c r="E482" t="s">
        <v>40</v>
      </c>
      <c r="F482" t="s">
        <v>151</v>
      </c>
      <c r="G482">
        <v>-122.29555499999999</v>
      </c>
      <c r="H482">
        <v>47.623244999999997</v>
      </c>
      <c r="I482" t="s">
        <v>566</v>
      </c>
      <c r="J482">
        <f t="shared" si="7"/>
        <v>1</v>
      </c>
      <c r="K482">
        <v>0</v>
      </c>
    </row>
    <row r="483" spans="1:11" x14ac:dyDescent="0.25">
      <c r="A483">
        <v>1702809</v>
      </c>
      <c r="B483">
        <v>470</v>
      </c>
      <c r="C483" t="s">
        <v>14</v>
      </c>
      <c r="D483" s="1">
        <v>42456.455555555556</v>
      </c>
      <c r="E483" t="s">
        <v>78</v>
      </c>
      <c r="F483" t="s">
        <v>113</v>
      </c>
      <c r="G483">
        <v>-122.35334</v>
      </c>
      <c r="H483">
        <v>47.658347999999997</v>
      </c>
      <c r="I483" t="s">
        <v>567</v>
      </c>
      <c r="J483">
        <f t="shared" si="7"/>
        <v>1</v>
      </c>
      <c r="K483">
        <v>3</v>
      </c>
    </row>
    <row r="484" spans="1:11" x14ac:dyDescent="0.25">
      <c r="A484">
        <v>1702810</v>
      </c>
      <c r="B484">
        <v>245</v>
      </c>
      <c r="C484" t="s">
        <v>32</v>
      </c>
      <c r="D484" s="1">
        <v>42456.46597222222</v>
      </c>
      <c r="E484" t="s">
        <v>67</v>
      </c>
      <c r="F484" t="s">
        <v>68</v>
      </c>
      <c r="G484">
        <v>-122.3387</v>
      </c>
      <c r="H484">
        <v>47.610743999999997</v>
      </c>
      <c r="I484" t="s">
        <v>328</v>
      </c>
      <c r="J484">
        <f t="shared" si="7"/>
        <v>4</v>
      </c>
      <c r="K484">
        <v>0</v>
      </c>
    </row>
    <row r="485" spans="1:11" x14ac:dyDescent="0.25">
      <c r="A485">
        <v>1702811</v>
      </c>
      <c r="B485">
        <v>188</v>
      </c>
      <c r="C485" t="s">
        <v>568</v>
      </c>
      <c r="D485" s="1">
        <v>42456.467361111114</v>
      </c>
      <c r="E485" t="s">
        <v>67</v>
      </c>
      <c r="F485" t="s">
        <v>100</v>
      </c>
      <c r="G485">
        <v>-122.34287999999999</v>
      </c>
      <c r="H485">
        <v>47.609814</v>
      </c>
      <c r="I485" t="s">
        <v>236</v>
      </c>
      <c r="J485">
        <f t="shared" si="7"/>
        <v>10</v>
      </c>
      <c r="K485">
        <v>1</v>
      </c>
    </row>
    <row r="486" spans="1:11" x14ac:dyDescent="0.25">
      <c r="A486">
        <v>1702812</v>
      </c>
      <c r="B486">
        <v>282</v>
      </c>
      <c r="C486" t="s">
        <v>486</v>
      </c>
      <c r="D486" s="1">
        <v>42456.464583333334</v>
      </c>
      <c r="E486" t="s">
        <v>145</v>
      </c>
      <c r="F486" t="s">
        <v>314</v>
      </c>
      <c r="G486">
        <v>-122.36771400000001</v>
      </c>
      <c r="H486">
        <v>47.720579999999998</v>
      </c>
      <c r="I486" t="s">
        <v>569</v>
      </c>
      <c r="J486">
        <f t="shared" si="7"/>
        <v>1</v>
      </c>
      <c r="K486">
        <v>3</v>
      </c>
    </row>
    <row r="487" spans="1:11" x14ac:dyDescent="0.25">
      <c r="A487">
        <v>1702813</v>
      </c>
      <c r="B487">
        <v>450</v>
      </c>
      <c r="C487" t="s">
        <v>266</v>
      </c>
      <c r="D487" s="1">
        <v>42456.474999999999</v>
      </c>
      <c r="E487" t="s">
        <v>23</v>
      </c>
      <c r="F487" t="s">
        <v>189</v>
      </c>
      <c r="G487">
        <v>-122.34352</v>
      </c>
      <c r="H487">
        <v>47.630585000000004</v>
      </c>
      <c r="I487" t="s">
        <v>570</v>
      </c>
      <c r="J487">
        <f t="shared" si="7"/>
        <v>1</v>
      </c>
      <c r="K487">
        <v>0</v>
      </c>
    </row>
    <row r="488" spans="1:11" x14ac:dyDescent="0.25">
      <c r="A488">
        <v>1702814</v>
      </c>
      <c r="B488">
        <v>470</v>
      </c>
      <c r="C488" t="s">
        <v>14</v>
      </c>
      <c r="D488" s="1">
        <v>42456.46875</v>
      </c>
      <c r="E488" t="s">
        <v>67</v>
      </c>
      <c r="F488" t="s">
        <v>193</v>
      </c>
      <c r="G488">
        <v>-122.33522000000001</v>
      </c>
      <c r="H488">
        <v>47.609454999999997</v>
      </c>
      <c r="I488" t="s">
        <v>571</v>
      </c>
      <c r="J488">
        <f t="shared" si="7"/>
        <v>1</v>
      </c>
      <c r="K488">
        <v>3</v>
      </c>
    </row>
    <row r="489" spans="1:11" x14ac:dyDescent="0.25">
      <c r="A489">
        <v>1702815</v>
      </c>
      <c r="B489">
        <v>50</v>
      </c>
      <c r="C489" t="s">
        <v>211</v>
      </c>
      <c r="D489" s="1">
        <v>42456.470138888886</v>
      </c>
      <c r="E489" t="s">
        <v>95</v>
      </c>
      <c r="F489" t="s">
        <v>96</v>
      </c>
      <c r="G489">
        <v>-122.28151</v>
      </c>
      <c r="H489">
        <v>47.672145999999998</v>
      </c>
      <c r="I489" t="s">
        <v>572</v>
      </c>
      <c r="J489">
        <f t="shared" si="7"/>
        <v>1</v>
      </c>
      <c r="K489">
        <v>1</v>
      </c>
    </row>
    <row r="490" spans="1:11" x14ac:dyDescent="0.25">
      <c r="A490">
        <v>1702816</v>
      </c>
      <c r="B490">
        <v>250</v>
      </c>
      <c r="C490" t="s">
        <v>59</v>
      </c>
      <c r="D490" s="1">
        <v>42456.476388888892</v>
      </c>
      <c r="E490" t="s">
        <v>71</v>
      </c>
      <c r="F490" t="s">
        <v>126</v>
      </c>
      <c r="G490">
        <v>-122.34216000000001</v>
      </c>
      <c r="H490">
        <v>47.608173000000001</v>
      </c>
      <c r="I490" t="s">
        <v>573</v>
      </c>
      <c r="J490">
        <f t="shared" si="7"/>
        <v>1</v>
      </c>
      <c r="K490">
        <v>2</v>
      </c>
    </row>
    <row r="491" spans="1:11" x14ac:dyDescent="0.25">
      <c r="A491">
        <v>1702817</v>
      </c>
      <c r="B491">
        <v>71</v>
      </c>
      <c r="C491" t="s">
        <v>142</v>
      </c>
      <c r="D491" s="1">
        <v>42456.478472222225</v>
      </c>
      <c r="E491" t="s">
        <v>145</v>
      </c>
      <c r="F491" t="s">
        <v>305</v>
      </c>
      <c r="G491">
        <v>-122.34773</v>
      </c>
      <c r="H491">
        <v>47.728225999999999</v>
      </c>
      <c r="I491" t="s">
        <v>574</v>
      </c>
      <c r="J491">
        <f t="shared" si="7"/>
        <v>1</v>
      </c>
      <c r="K491">
        <v>1</v>
      </c>
    </row>
    <row r="492" spans="1:11" x14ac:dyDescent="0.25">
      <c r="A492">
        <v>1702818</v>
      </c>
      <c r="B492">
        <v>63</v>
      </c>
      <c r="C492" t="s">
        <v>87</v>
      </c>
      <c r="D492" s="1">
        <v>42456.475694444445</v>
      </c>
      <c r="E492" t="s">
        <v>29</v>
      </c>
      <c r="F492" t="s">
        <v>55</v>
      </c>
      <c r="G492">
        <v>-122.261</v>
      </c>
      <c r="H492">
        <v>47.525615999999999</v>
      </c>
      <c r="I492" t="s">
        <v>575</v>
      </c>
      <c r="J492">
        <f t="shared" si="7"/>
        <v>1</v>
      </c>
      <c r="K492">
        <v>4</v>
      </c>
    </row>
    <row r="493" spans="1:11" x14ac:dyDescent="0.25">
      <c r="A493">
        <v>1702819</v>
      </c>
      <c r="B493">
        <v>460</v>
      </c>
      <c r="C493" t="s">
        <v>18</v>
      </c>
      <c r="D493" s="1">
        <v>42456.476388888892</v>
      </c>
      <c r="E493" t="s">
        <v>71</v>
      </c>
      <c r="F493" t="s">
        <v>72</v>
      </c>
      <c r="G493">
        <v>-122.31610999999999</v>
      </c>
      <c r="H493">
        <v>47.547974000000004</v>
      </c>
      <c r="I493" t="s">
        <v>576</v>
      </c>
      <c r="J493">
        <f t="shared" si="7"/>
        <v>1</v>
      </c>
      <c r="K493">
        <v>1</v>
      </c>
    </row>
    <row r="494" spans="1:11" x14ac:dyDescent="0.25">
      <c r="A494">
        <v>1702820</v>
      </c>
      <c r="B494">
        <v>64</v>
      </c>
      <c r="C494" t="s">
        <v>158</v>
      </c>
      <c r="D494" s="1">
        <v>42456.472916666666</v>
      </c>
      <c r="E494" t="s">
        <v>71</v>
      </c>
      <c r="F494" t="s">
        <v>126</v>
      </c>
      <c r="G494">
        <v>-122.31473</v>
      </c>
      <c r="H494">
        <v>47.664912999999999</v>
      </c>
      <c r="I494" t="s">
        <v>577</v>
      </c>
      <c r="J494">
        <f t="shared" si="7"/>
        <v>1</v>
      </c>
      <c r="K494">
        <v>1</v>
      </c>
    </row>
    <row r="495" spans="1:11" x14ac:dyDescent="0.25">
      <c r="A495">
        <v>1702821</v>
      </c>
      <c r="B495">
        <v>350</v>
      </c>
      <c r="C495" t="s">
        <v>76</v>
      </c>
      <c r="D495" s="1">
        <v>42456.487500000003</v>
      </c>
      <c r="E495" t="s">
        <v>71</v>
      </c>
      <c r="F495" t="s">
        <v>126</v>
      </c>
      <c r="G495">
        <v>-122.39156</v>
      </c>
      <c r="H495">
        <v>47.648646999999997</v>
      </c>
      <c r="I495" t="s">
        <v>578</v>
      </c>
      <c r="J495">
        <f t="shared" si="7"/>
        <v>1</v>
      </c>
      <c r="K495">
        <v>1</v>
      </c>
    </row>
    <row r="496" spans="1:11" x14ac:dyDescent="0.25">
      <c r="A496">
        <v>1702822</v>
      </c>
      <c r="B496">
        <v>280</v>
      </c>
      <c r="C496" t="s">
        <v>22</v>
      </c>
      <c r="D496" s="1">
        <v>42456.480555555558</v>
      </c>
      <c r="E496" t="s">
        <v>78</v>
      </c>
      <c r="F496" t="s">
        <v>85</v>
      </c>
      <c r="G496">
        <v>-122.34184999999999</v>
      </c>
      <c r="H496">
        <v>47.662864999999996</v>
      </c>
      <c r="I496" t="s">
        <v>579</v>
      </c>
      <c r="J496">
        <f t="shared" si="7"/>
        <v>1</v>
      </c>
      <c r="K496">
        <v>2</v>
      </c>
    </row>
    <row r="497" spans="1:11" x14ac:dyDescent="0.25">
      <c r="A497">
        <v>1702823</v>
      </c>
      <c r="B497">
        <v>470</v>
      </c>
      <c r="C497" t="s">
        <v>14</v>
      </c>
      <c r="D497" s="1">
        <v>42456.484027777777</v>
      </c>
      <c r="E497" t="s">
        <v>40</v>
      </c>
      <c r="F497" t="s">
        <v>41</v>
      </c>
      <c r="G497">
        <v>-122.32532500000001</v>
      </c>
      <c r="H497">
        <v>47.626475999999997</v>
      </c>
      <c r="I497" t="s">
        <v>580</v>
      </c>
      <c r="J497">
        <f t="shared" si="7"/>
        <v>1</v>
      </c>
      <c r="K497">
        <v>3</v>
      </c>
    </row>
    <row r="498" spans="1:11" x14ac:dyDescent="0.25">
      <c r="A498">
        <v>1702824</v>
      </c>
      <c r="B498">
        <v>63</v>
      </c>
      <c r="C498" t="s">
        <v>87</v>
      </c>
      <c r="D498" s="1">
        <v>42456.488194444442</v>
      </c>
      <c r="E498" t="s">
        <v>67</v>
      </c>
      <c r="F498" t="s">
        <v>68</v>
      </c>
      <c r="G498">
        <v>-122.332245</v>
      </c>
      <c r="H498">
        <v>47.612071999999998</v>
      </c>
      <c r="I498" t="s">
        <v>69</v>
      </c>
      <c r="J498">
        <f t="shared" si="7"/>
        <v>2</v>
      </c>
      <c r="K498">
        <v>3</v>
      </c>
    </row>
    <row r="499" spans="1:11" x14ac:dyDescent="0.25">
      <c r="A499">
        <v>1702825</v>
      </c>
      <c r="B499">
        <v>51</v>
      </c>
      <c r="C499" t="s">
        <v>117</v>
      </c>
      <c r="D499" s="1">
        <v>42456.479861111111</v>
      </c>
      <c r="E499" t="s">
        <v>71</v>
      </c>
      <c r="F499" t="s">
        <v>110</v>
      </c>
      <c r="G499">
        <v>-122.32785</v>
      </c>
      <c r="H499">
        <v>47.619038000000003</v>
      </c>
      <c r="I499" t="s">
        <v>174</v>
      </c>
      <c r="J499">
        <f t="shared" si="7"/>
        <v>2</v>
      </c>
      <c r="K499">
        <v>2</v>
      </c>
    </row>
    <row r="500" spans="1:11" x14ac:dyDescent="0.25">
      <c r="A500">
        <v>1702826</v>
      </c>
      <c r="B500">
        <v>130</v>
      </c>
      <c r="C500" t="s">
        <v>248</v>
      </c>
      <c r="D500" s="1">
        <v>42456.486111111109</v>
      </c>
      <c r="E500" t="s">
        <v>78</v>
      </c>
      <c r="F500" t="s">
        <v>85</v>
      </c>
      <c r="G500">
        <v>-122.34338</v>
      </c>
      <c r="H500">
        <v>47.649532000000001</v>
      </c>
      <c r="I500" t="s">
        <v>581</v>
      </c>
      <c r="J500">
        <f t="shared" si="7"/>
        <v>1</v>
      </c>
      <c r="K500">
        <v>2</v>
      </c>
    </row>
    <row r="501" spans="1:11" x14ac:dyDescent="0.25">
      <c r="A501">
        <v>1702827</v>
      </c>
      <c r="B501">
        <v>250</v>
      </c>
      <c r="C501" t="s">
        <v>59</v>
      </c>
      <c r="D501" s="1">
        <v>42456.486805555556</v>
      </c>
      <c r="E501" t="s">
        <v>47</v>
      </c>
      <c r="F501" t="s">
        <v>90</v>
      </c>
      <c r="G501">
        <v>-122.320915</v>
      </c>
      <c r="H501">
        <v>47.62256</v>
      </c>
      <c r="I501" t="s">
        <v>129</v>
      </c>
      <c r="J501">
        <f t="shared" si="7"/>
        <v>5</v>
      </c>
      <c r="K501">
        <v>1</v>
      </c>
    </row>
    <row r="502" spans="1:11" x14ac:dyDescent="0.25">
      <c r="A502">
        <v>1702828</v>
      </c>
      <c r="B502">
        <v>200</v>
      </c>
      <c r="C502" t="s">
        <v>187</v>
      </c>
      <c r="D502" s="1">
        <v>42456.491666666669</v>
      </c>
      <c r="E502" t="s">
        <v>71</v>
      </c>
      <c r="F502" t="s">
        <v>72</v>
      </c>
      <c r="G502">
        <v>-122.362976</v>
      </c>
      <c r="H502">
        <v>47.622369999999997</v>
      </c>
      <c r="I502" t="s">
        <v>582</v>
      </c>
      <c r="J502">
        <f t="shared" si="7"/>
        <v>1</v>
      </c>
      <c r="K502">
        <v>1</v>
      </c>
    </row>
    <row r="503" spans="1:11" x14ac:dyDescent="0.25">
      <c r="A503">
        <v>1702829</v>
      </c>
      <c r="B503">
        <v>245</v>
      </c>
      <c r="C503" t="s">
        <v>32</v>
      </c>
      <c r="D503" s="1">
        <v>42456.493055555555</v>
      </c>
      <c r="E503" t="s">
        <v>43</v>
      </c>
      <c r="F503" t="s">
        <v>44</v>
      </c>
      <c r="G503">
        <v>-122.33081</v>
      </c>
      <c r="H503">
        <v>47.600464000000002</v>
      </c>
      <c r="I503" t="s">
        <v>45</v>
      </c>
      <c r="J503">
        <f t="shared" si="7"/>
        <v>17</v>
      </c>
      <c r="K503">
        <v>3</v>
      </c>
    </row>
    <row r="504" spans="1:11" x14ac:dyDescent="0.25">
      <c r="A504">
        <v>1702830</v>
      </c>
      <c r="B504">
        <v>220</v>
      </c>
      <c r="C504" t="s">
        <v>173</v>
      </c>
      <c r="D504" s="1">
        <v>42456.489583333336</v>
      </c>
      <c r="E504" t="s">
        <v>47</v>
      </c>
      <c r="F504" t="s">
        <v>177</v>
      </c>
      <c r="G504">
        <v>-122.322395</v>
      </c>
      <c r="H504">
        <v>47.608016999999997</v>
      </c>
      <c r="I504" t="s">
        <v>583</v>
      </c>
      <c r="J504">
        <f t="shared" si="7"/>
        <v>1</v>
      </c>
      <c r="K504">
        <v>3</v>
      </c>
    </row>
    <row r="505" spans="1:11" x14ac:dyDescent="0.25">
      <c r="A505">
        <v>1702831</v>
      </c>
      <c r="B505">
        <v>201</v>
      </c>
      <c r="C505" t="s">
        <v>36</v>
      </c>
      <c r="D505" s="1">
        <v>42456.499305555553</v>
      </c>
      <c r="E505" t="s">
        <v>29</v>
      </c>
      <c r="F505" t="s">
        <v>156</v>
      </c>
      <c r="G505">
        <v>-122.28879000000001</v>
      </c>
      <c r="H505">
        <v>47.541103</v>
      </c>
      <c r="I505" t="s">
        <v>584</v>
      </c>
      <c r="J505">
        <f t="shared" si="7"/>
        <v>1</v>
      </c>
      <c r="K505">
        <v>1</v>
      </c>
    </row>
    <row r="506" spans="1:11" x14ac:dyDescent="0.25">
      <c r="A506">
        <v>1702832</v>
      </c>
      <c r="B506">
        <v>245</v>
      </c>
      <c r="C506" t="s">
        <v>32</v>
      </c>
      <c r="D506" s="1">
        <v>42456.495833333334</v>
      </c>
      <c r="E506" t="s">
        <v>78</v>
      </c>
      <c r="F506" t="s">
        <v>79</v>
      </c>
      <c r="G506">
        <v>-122.39149999999999</v>
      </c>
      <c r="H506">
        <v>47.668663000000002</v>
      </c>
      <c r="I506" t="s">
        <v>585</v>
      </c>
      <c r="J506">
        <f t="shared" si="7"/>
        <v>1</v>
      </c>
      <c r="K506">
        <v>4</v>
      </c>
    </row>
    <row r="507" spans="1:11" x14ac:dyDescent="0.25">
      <c r="A507">
        <v>1702833</v>
      </c>
      <c r="B507">
        <v>245</v>
      </c>
      <c r="C507" t="s">
        <v>32</v>
      </c>
      <c r="D507" s="1">
        <v>42456.499305555553</v>
      </c>
      <c r="E507" t="s">
        <v>71</v>
      </c>
      <c r="F507" t="s">
        <v>72</v>
      </c>
      <c r="G507">
        <v>-122.34716</v>
      </c>
      <c r="H507">
        <v>47.613757999999997</v>
      </c>
      <c r="I507" t="s">
        <v>586</v>
      </c>
      <c r="J507">
        <f t="shared" si="7"/>
        <v>1</v>
      </c>
      <c r="K507">
        <v>1</v>
      </c>
    </row>
    <row r="508" spans="1:11" x14ac:dyDescent="0.25">
      <c r="A508">
        <v>1702834</v>
      </c>
      <c r="B508">
        <v>280</v>
      </c>
      <c r="C508" t="s">
        <v>22</v>
      </c>
      <c r="D508" s="1">
        <v>42456.495138888888</v>
      </c>
      <c r="E508" t="s">
        <v>78</v>
      </c>
      <c r="F508" t="s">
        <v>79</v>
      </c>
      <c r="G508">
        <v>-122.38885999999999</v>
      </c>
      <c r="H508">
        <v>47.674550000000004</v>
      </c>
      <c r="I508" t="s">
        <v>587</v>
      </c>
      <c r="J508">
        <f t="shared" si="7"/>
        <v>1</v>
      </c>
      <c r="K508">
        <v>2</v>
      </c>
    </row>
    <row r="509" spans="1:11" x14ac:dyDescent="0.25">
      <c r="A509">
        <v>1702835</v>
      </c>
      <c r="B509">
        <v>161</v>
      </c>
      <c r="C509" t="s">
        <v>35</v>
      </c>
      <c r="D509" s="1">
        <v>42456.495833333334</v>
      </c>
      <c r="E509" t="s">
        <v>67</v>
      </c>
      <c r="F509" t="s">
        <v>100</v>
      </c>
      <c r="G509">
        <v>-122.34047</v>
      </c>
      <c r="H509">
        <v>47.609318000000002</v>
      </c>
      <c r="I509" t="s">
        <v>588</v>
      </c>
      <c r="J509">
        <f t="shared" si="7"/>
        <v>1</v>
      </c>
      <c r="K509">
        <v>3</v>
      </c>
    </row>
    <row r="510" spans="1:11" x14ac:dyDescent="0.25">
      <c r="A510">
        <v>1702836</v>
      </c>
      <c r="B510">
        <v>200</v>
      </c>
      <c r="C510" t="s">
        <v>187</v>
      </c>
      <c r="D510" s="1">
        <v>42456.495833333334</v>
      </c>
      <c r="E510" t="s">
        <v>78</v>
      </c>
      <c r="F510" t="s">
        <v>85</v>
      </c>
      <c r="G510">
        <v>-122.34275</v>
      </c>
      <c r="H510">
        <v>47.648980000000002</v>
      </c>
      <c r="I510" t="s">
        <v>589</v>
      </c>
      <c r="J510">
        <f t="shared" si="7"/>
        <v>1</v>
      </c>
      <c r="K510">
        <v>0</v>
      </c>
    </row>
    <row r="511" spans="1:11" x14ac:dyDescent="0.25">
      <c r="A511">
        <v>1702837</v>
      </c>
      <c r="B511">
        <v>470</v>
      </c>
      <c r="C511" t="s">
        <v>14</v>
      </c>
      <c r="D511" s="1">
        <v>42456.499305555553</v>
      </c>
      <c r="E511" t="s">
        <v>78</v>
      </c>
      <c r="F511" t="s">
        <v>79</v>
      </c>
      <c r="G511">
        <v>-122.38395</v>
      </c>
      <c r="H511">
        <v>47.667045999999999</v>
      </c>
      <c r="I511" t="s">
        <v>590</v>
      </c>
      <c r="J511">
        <f t="shared" si="7"/>
        <v>2</v>
      </c>
      <c r="K511">
        <v>2</v>
      </c>
    </row>
    <row r="512" spans="1:11" x14ac:dyDescent="0.25">
      <c r="A512">
        <v>1702838</v>
      </c>
      <c r="B512">
        <v>470</v>
      </c>
      <c r="C512" t="s">
        <v>14</v>
      </c>
      <c r="D512" s="1">
        <v>42456.505555555559</v>
      </c>
      <c r="E512" t="s">
        <v>23</v>
      </c>
      <c r="F512" t="s">
        <v>189</v>
      </c>
      <c r="G512">
        <v>-122.37008</v>
      </c>
      <c r="H512">
        <v>47.631115000000001</v>
      </c>
      <c r="I512" t="s">
        <v>591</v>
      </c>
      <c r="J512">
        <f t="shared" si="7"/>
        <v>1</v>
      </c>
      <c r="K512">
        <v>0</v>
      </c>
    </row>
    <row r="513" spans="1:11" x14ac:dyDescent="0.25">
      <c r="A513">
        <v>1702839</v>
      </c>
      <c r="B513">
        <v>280</v>
      </c>
      <c r="C513" t="s">
        <v>22</v>
      </c>
      <c r="D513" s="1">
        <v>42456.504166666666</v>
      </c>
      <c r="E513" t="s">
        <v>43</v>
      </c>
      <c r="F513" t="s">
        <v>44</v>
      </c>
      <c r="G513">
        <v>-122.33081</v>
      </c>
      <c r="H513">
        <v>47.600464000000002</v>
      </c>
      <c r="I513" t="s">
        <v>45</v>
      </c>
      <c r="J513">
        <f t="shared" si="7"/>
        <v>17</v>
      </c>
      <c r="K513">
        <v>1</v>
      </c>
    </row>
    <row r="514" spans="1:11" x14ac:dyDescent="0.25">
      <c r="A514">
        <v>1702840</v>
      </c>
      <c r="B514">
        <v>244</v>
      </c>
      <c r="C514" t="s">
        <v>286</v>
      </c>
      <c r="D514" s="1">
        <v>42456.506249999999</v>
      </c>
      <c r="E514" t="s">
        <v>81</v>
      </c>
      <c r="F514" t="s">
        <v>82</v>
      </c>
      <c r="G514">
        <v>-122.341736</v>
      </c>
      <c r="H514">
        <v>47.619717000000001</v>
      </c>
      <c r="I514" t="s">
        <v>592</v>
      </c>
      <c r="J514">
        <f t="shared" ref="J514:J577" si="8">COUNTIF($I$2:$I$1046,I514)</f>
        <v>2</v>
      </c>
      <c r="K514">
        <v>4</v>
      </c>
    </row>
    <row r="515" spans="1:11" x14ac:dyDescent="0.25">
      <c r="A515">
        <v>1702841</v>
      </c>
      <c r="B515">
        <v>250</v>
      </c>
      <c r="C515" t="s">
        <v>59</v>
      </c>
      <c r="D515" s="1">
        <v>42456.513194444444</v>
      </c>
      <c r="E515" t="s">
        <v>67</v>
      </c>
      <c r="F515" t="s">
        <v>68</v>
      </c>
      <c r="G515">
        <v>-122.33732000000001</v>
      </c>
      <c r="H515">
        <v>47.611319999999999</v>
      </c>
      <c r="I515" t="s">
        <v>223</v>
      </c>
      <c r="J515">
        <f t="shared" si="8"/>
        <v>7</v>
      </c>
      <c r="K515">
        <v>1</v>
      </c>
    </row>
    <row r="516" spans="1:11" x14ac:dyDescent="0.25">
      <c r="A516">
        <v>1702842</v>
      </c>
      <c r="B516">
        <v>245</v>
      </c>
      <c r="C516" t="s">
        <v>32</v>
      </c>
      <c r="D516" s="1">
        <v>42456.509027777778</v>
      </c>
      <c r="E516" t="s">
        <v>15</v>
      </c>
      <c r="F516" t="s">
        <v>16</v>
      </c>
      <c r="G516">
        <v>-122.30892</v>
      </c>
      <c r="H516">
        <v>47.609780000000001</v>
      </c>
      <c r="I516" t="s">
        <v>593</v>
      </c>
      <c r="J516">
        <f t="shared" si="8"/>
        <v>1</v>
      </c>
      <c r="K516">
        <v>4</v>
      </c>
    </row>
    <row r="517" spans="1:11" x14ac:dyDescent="0.25">
      <c r="A517">
        <v>1702843</v>
      </c>
      <c r="B517">
        <v>470</v>
      </c>
      <c r="C517" t="s">
        <v>14</v>
      </c>
      <c r="D517" s="1">
        <v>42456.518750000003</v>
      </c>
      <c r="E517" t="s">
        <v>71</v>
      </c>
      <c r="F517" t="s">
        <v>110</v>
      </c>
      <c r="G517">
        <v>-122.33942999999999</v>
      </c>
      <c r="H517">
        <v>47.60483</v>
      </c>
      <c r="I517" t="s">
        <v>594</v>
      </c>
      <c r="J517">
        <f t="shared" si="8"/>
        <v>1</v>
      </c>
      <c r="K517">
        <v>1</v>
      </c>
    </row>
    <row r="518" spans="1:11" x14ac:dyDescent="0.25">
      <c r="A518">
        <v>1702844</v>
      </c>
      <c r="B518">
        <v>430</v>
      </c>
      <c r="C518" t="s">
        <v>70</v>
      </c>
      <c r="D518" s="1">
        <v>42456.510416666664</v>
      </c>
      <c r="E518" t="s">
        <v>95</v>
      </c>
      <c r="F518" t="s">
        <v>367</v>
      </c>
      <c r="G518">
        <v>-122.31577</v>
      </c>
      <c r="H518">
        <v>47.671897999999999</v>
      </c>
      <c r="I518" t="s">
        <v>595</v>
      </c>
      <c r="J518">
        <f t="shared" si="8"/>
        <v>1</v>
      </c>
      <c r="K518">
        <v>1</v>
      </c>
    </row>
    <row r="519" spans="1:11" x14ac:dyDescent="0.25">
      <c r="A519">
        <v>1702845</v>
      </c>
      <c r="B519">
        <v>200</v>
      </c>
      <c r="C519" t="s">
        <v>187</v>
      </c>
      <c r="D519" s="1">
        <v>42456.522222222222</v>
      </c>
      <c r="E519" t="s">
        <v>78</v>
      </c>
      <c r="F519" t="s">
        <v>79</v>
      </c>
      <c r="G519">
        <v>-122.38395</v>
      </c>
      <c r="H519">
        <v>47.667045999999999</v>
      </c>
      <c r="I519" t="s">
        <v>590</v>
      </c>
      <c r="J519">
        <f t="shared" si="8"/>
        <v>2</v>
      </c>
      <c r="K519">
        <v>2</v>
      </c>
    </row>
    <row r="520" spans="1:11" x14ac:dyDescent="0.25">
      <c r="A520">
        <v>1702846</v>
      </c>
      <c r="B520">
        <v>186</v>
      </c>
      <c r="C520" t="s">
        <v>77</v>
      </c>
      <c r="D520" s="1">
        <v>42456.51666666667</v>
      </c>
      <c r="E520" t="s">
        <v>71</v>
      </c>
      <c r="F520" t="s">
        <v>110</v>
      </c>
      <c r="G520">
        <v>-122.34732</v>
      </c>
      <c r="H520">
        <v>47.699173000000002</v>
      </c>
      <c r="I520" t="s">
        <v>596</v>
      </c>
      <c r="J520">
        <f t="shared" si="8"/>
        <v>1</v>
      </c>
      <c r="K520">
        <v>2</v>
      </c>
    </row>
    <row r="521" spans="1:11" x14ac:dyDescent="0.25">
      <c r="A521">
        <v>1702847</v>
      </c>
      <c r="B521">
        <v>430</v>
      </c>
      <c r="C521" t="s">
        <v>70</v>
      </c>
      <c r="D521" s="1">
        <v>42456.517361111109</v>
      </c>
      <c r="E521" t="s">
        <v>19</v>
      </c>
      <c r="F521" t="s">
        <v>20</v>
      </c>
      <c r="G521">
        <v>-122.33420599999999</v>
      </c>
      <c r="H521">
        <v>47.575577000000003</v>
      </c>
      <c r="I521" t="s">
        <v>431</v>
      </c>
      <c r="J521">
        <f t="shared" si="8"/>
        <v>2</v>
      </c>
      <c r="K521">
        <v>3</v>
      </c>
    </row>
    <row r="522" spans="1:11" x14ac:dyDescent="0.25">
      <c r="A522">
        <v>1702848</v>
      </c>
      <c r="B522">
        <v>63</v>
      </c>
      <c r="C522" t="s">
        <v>87</v>
      </c>
      <c r="D522" s="1">
        <v>42456.519444444442</v>
      </c>
      <c r="E522" t="s">
        <v>23</v>
      </c>
      <c r="F522" t="s">
        <v>24</v>
      </c>
      <c r="G522">
        <v>-122.38599000000001</v>
      </c>
      <c r="H522">
        <v>47.653064999999998</v>
      </c>
      <c r="I522" t="s">
        <v>597</v>
      </c>
      <c r="J522">
        <f t="shared" si="8"/>
        <v>1</v>
      </c>
      <c r="K522">
        <v>1</v>
      </c>
    </row>
    <row r="523" spans="1:11" x14ac:dyDescent="0.25">
      <c r="A523">
        <v>1702849</v>
      </c>
      <c r="B523">
        <v>430</v>
      </c>
      <c r="C523" t="s">
        <v>70</v>
      </c>
      <c r="D523" s="1">
        <v>42456.513888888891</v>
      </c>
      <c r="E523" t="s">
        <v>71</v>
      </c>
      <c r="F523" t="s">
        <v>110</v>
      </c>
      <c r="G523">
        <v>-122.38677</v>
      </c>
      <c r="H523">
        <v>47.569279999999999</v>
      </c>
      <c r="I523" t="s">
        <v>598</v>
      </c>
      <c r="J523">
        <f t="shared" si="8"/>
        <v>1</v>
      </c>
      <c r="K523">
        <v>2</v>
      </c>
    </row>
    <row r="524" spans="1:11" x14ac:dyDescent="0.25">
      <c r="A524">
        <v>1702850</v>
      </c>
      <c r="B524">
        <v>65</v>
      </c>
      <c r="C524" t="s">
        <v>39</v>
      </c>
      <c r="D524" s="1">
        <v>42456.51458333333</v>
      </c>
      <c r="E524" t="s">
        <v>47</v>
      </c>
      <c r="F524" t="s">
        <v>48</v>
      </c>
      <c r="G524">
        <v>-122.32031000000001</v>
      </c>
      <c r="H524">
        <v>47.611355000000003</v>
      </c>
      <c r="I524" t="s">
        <v>599</v>
      </c>
      <c r="J524">
        <f t="shared" si="8"/>
        <v>1</v>
      </c>
      <c r="K524">
        <v>1</v>
      </c>
    </row>
    <row r="525" spans="1:11" x14ac:dyDescent="0.25">
      <c r="A525">
        <v>1702851</v>
      </c>
      <c r="B525">
        <v>245</v>
      </c>
      <c r="C525" t="s">
        <v>32</v>
      </c>
      <c r="D525" s="1">
        <v>42456.530555555553</v>
      </c>
      <c r="E525" t="s">
        <v>43</v>
      </c>
      <c r="F525" t="s">
        <v>44</v>
      </c>
      <c r="G525">
        <v>-122.32765999999999</v>
      </c>
      <c r="H525">
        <v>47.600451999999997</v>
      </c>
      <c r="I525" t="s">
        <v>600</v>
      </c>
      <c r="J525">
        <f t="shared" si="8"/>
        <v>1</v>
      </c>
      <c r="K525">
        <v>3</v>
      </c>
    </row>
    <row r="526" spans="1:11" x14ac:dyDescent="0.25">
      <c r="A526">
        <v>1702852</v>
      </c>
      <c r="B526">
        <v>470</v>
      </c>
      <c r="C526" t="s">
        <v>14</v>
      </c>
      <c r="D526" s="1">
        <v>42456.526388888888</v>
      </c>
      <c r="E526" t="s">
        <v>29</v>
      </c>
      <c r="F526" t="s">
        <v>55</v>
      </c>
      <c r="G526">
        <v>-122.26999000000001</v>
      </c>
      <c r="H526">
        <v>47.532623000000001</v>
      </c>
      <c r="I526" t="s">
        <v>601</v>
      </c>
      <c r="J526">
        <f t="shared" si="8"/>
        <v>1</v>
      </c>
      <c r="K526">
        <v>0</v>
      </c>
    </row>
    <row r="527" spans="1:11" x14ac:dyDescent="0.25">
      <c r="A527">
        <v>1702853</v>
      </c>
      <c r="B527">
        <v>201</v>
      </c>
      <c r="C527" t="s">
        <v>36</v>
      </c>
      <c r="D527" s="1">
        <v>42456.525000000001</v>
      </c>
      <c r="E527" t="s">
        <v>23</v>
      </c>
      <c r="F527" t="s">
        <v>24</v>
      </c>
      <c r="G527">
        <v>-122.38975499999999</v>
      </c>
      <c r="H527">
        <v>47.649403</v>
      </c>
      <c r="I527" t="s">
        <v>602</v>
      </c>
      <c r="J527">
        <f t="shared" si="8"/>
        <v>1</v>
      </c>
      <c r="K527">
        <v>1</v>
      </c>
    </row>
    <row r="528" spans="1:11" x14ac:dyDescent="0.25">
      <c r="A528">
        <v>1702854</v>
      </c>
      <c r="B528">
        <v>203</v>
      </c>
      <c r="C528" t="s">
        <v>161</v>
      </c>
      <c r="D528" s="1">
        <v>42456.522916666669</v>
      </c>
      <c r="E528" t="s">
        <v>40</v>
      </c>
      <c r="F528" t="s">
        <v>115</v>
      </c>
      <c r="G528">
        <v>-122.28288999999999</v>
      </c>
      <c r="H528">
        <v>47.639034000000002</v>
      </c>
      <c r="I528" t="s">
        <v>603</v>
      </c>
      <c r="J528">
        <f t="shared" si="8"/>
        <v>1</v>
      </c>
      <c r="K528">
        <v>2</v>
      </c>
    </row>
    <row r="529" spans="1:11" x14ac:dyDescent="0.25">
      <c r="A529">
        <v>1702855</v>
      </c>
      <c r="B529">
        <v>161</v>
      </c>
      <c r="C529" t="s">
        <v>35</v>
      </c>
      <c r="D529" s="1">
        <v>42456.525694444441</v>
      </c>
      <c r="E529" t="s">
        <v>11</v>
      </c>
      <c r="F529" t="s">
        <v>245</v>
      </c>
      <c r="G529">
        <v>-122.30952000000001</v>
      </c>
      <c r="H529">
        <v>47.576073000000001</v>
      </c>
      <c r="I529" t="s">
        <v>604</v>
      </c>
      <c r="J529">
        <f t="shared" si="8"/>
        <v>1</v>
      </c>
      <c r="K529">
        <v>1</v>
      </c>
    </row>
    <row r="530" spans="1:11" x14ac:dyDescent="0.25">
      <c r="A530">
        <v>1702856</v>
      </c>
      <c r="B530">
        <v>250</v>
      </c>
      <c r="C530" t="s">
        <v>59</v>
      </c>
      <c r="D530" s="1">
        <v>42456.533333333333</v>
      </c>
      <c r="E530" t="s">
        <v>43</v>
      </c>
      <c r="F530" t="s">
        <v>102</v>
      </c>
      <c r="G530">
        <v>-122.334175</v>
      </c>
      <c r="H530">
        <v>47.602150000000002</v>
      </c>
      <c r="I530" t="s">
        <v>605</v>
      </c>
      <c r="J530">
        <f t="shared" si="8"/>
        <v>1</v>
      </c>
      <c r="K530">
        <v>1</v>
      </c>
    </row>
    <row r="531" spans="1:11" x14ac:dyDescent="0.25">
      <c r="A531">
        <v>1702857</v>
      </c>
      <c r="B531">
        <v>161</v>
      </c>
      <c r="C531" t="s">
        <v>35</v>
      </c>
      <c r="D531" s="1">
        <v>42456.537499999999</v>
      </c>
      <c r="E531" t="s">
        <v>71</v>
      </c>
      <c r="F531" t="s">
        <v>72</v>
      </c>
      <c r="G531">
        <v>-122.33835000000001</v>
      </c>
      <c r="H531">
        <v>47.609515999999999</v>
      </c>
      <c r="I531" t="s">
        <v>366</v>
      </c>
      <c r="J531">
        <f t="shared" si="8"/>
        <v>8</v>
      </c>
      <c r="K531">
        <v>1</v>
      </c>
    </row>
    <row r="532" spans="1:11" x14ac:dyDescent="0.25">
      <c r="A532">
        <v>1702858</v>
      </c>
      <c r="B532">
        <v>250</v>
      </c>
      <c r="C532" t="s">
        <v>59</v>
      </c>
      <c r="D532" s="1">
        <v>42456.532638888886</v>
      </c>
      <c r="E532" t="s">
        <v>43</v>
      </c>
      <c r="F532" t="s">
        <v>102</v>
      </c>
      <c r="G532">
        <v>-122.3364</v>
      </c>
      <c r="H532">
        <v>47.602657000000001</v>
      </c>
      <c r="I532" t="s">
        <v>260</v>
      </c>
      <c r="J532">
        <f t="shared" si="8"/>
        <v>2</v>
      </c>
      <c r="K532">
        <v>0</v>
      </c>
    </row>
    <row r="533" spans="1:11" x14ac:dyDescent="0.25">
      <c r="A533">
        <v>1702859</v>
      </c>
      <c r="B533">
        <v>160</v>
      </c>
      <c r="C533" t="s">
        <v>504</v>
      </c>
      <c r="D533" s="1">
        <v>42456.536111111112</v>
      </c>
      <c r="E533" t="s">
        <v>11</v>
      </c>
      <c r="F533" t="s">
        <v>12</v>
      </c>
      <c r="G533">
        <v>-122.271286</v>
      </c>
      <c r="H533">
        <v>47.551895000000002</v>
      </c>
      <c r="I533" t="s">
        <v>606</v>
      </c>
      <c r="J533">
        <f t="shared" si="8"/>
        <v>1</v>
      </c>
      <c r="K533">
        <v>2</v>
      </c>
    </row>
    <row r="534" spans="1:11" x14ac:dyDescent="0.25">
      <c r="A534">
        <v>1702860</v>
      </c>
      <c r="B534">
        <v>282</v>
      </c>
      <c r="C534" t="s">
        <v>486</v>
      </c>
      <c r="D534" s="1">
        <v>42456.541666666664</v>
      </c>
      <c r="E534" t="s">
        <v>145</v>
      </c>
      <c r="F534" t="s">
        <v>305</v>
      </c>
      <c r="G534">
        <v>-122.34493999999999</v>
      </c>
      <c r="H534">
        <v>47.719569999999997</v>
      </c>
      <c r="I534" t="s">
        <v>607</v>
      </c>
      <c r="J534">
        <f t="shared" si="8"/>
        <v>1</v>
      </c>
      <c r="K534">
        <v>1</v>
      </c>
    </row>
    <row r="535" spans="1:11" x14ac:dyDescent="0.25">
      <c r="A535">
        <v>1702861</v>
      </c>
      <c r="B535">
        <v>63</v>
      </c>
      <c r="C535" t="s">
        <v>87</v>
      </c>
      <c r="D535" s="1">
        <v>42456.541666666664</v>
      </c>
      <c r="E535" t="s">
        <v>29</v>
      </c>
      <c r="F535" t="s">
        <v>55</v>
      </c>
      <c r="G535">
        <v>-122.27567000000001</v>
      </c>
      <c r="H535">
        <v>47.545788000000002</v>
      </c>
      <c r="I535" t="s">
        <v>608</v>
      </c>
      <c r="J535">
        <f t="shared" si="8"/>
        <v>1</v>
      </c>
      <c r="K535">
        <v>4</v>
      </c>
    </row>
    <row r="536" spans="1:11" x14ac:dyDescent="0.25">
      <c r="A536">
        <v>1702862</v>
      </c>
      <c r="B536">
        <v>130</v>
      </c>
      <c r="C536" t="s">
        <v>248</v>
      </c>
      <c r="D536" s="1">
        <v>42456.540972222225</v>
      </c>
      <c r="E536" t="s">
        <v>40</v>
      </c>
      <c r="F536" t="s">
        <v>41</v>
      </c>
      <c r="G536">
        <v>-122.31432</v>
      </c>
      <c r="H536">
        <v>47.620539999999998</v>
      </c>
      <c r="I536" t="s">
        <v>609</v>
      </c>
      <c r="J536">
        <f t="shared" si="8"/>
        <v>1</v>
      </c>
      <c r="K536">
        <v>1</v>
      </c>
    </row>
    <row r="537" spans="1:11" x14ac:dyDescent="0.25">
      <c r="A537">
        <v>1702863</v>
      </c>
      <c r="B537">
        <v>244</v>
      </c>
      <c r="C537" t="s">
        <v>286</v>
      </c>
      <c r="D537" s="1">
        <v>42456.537499999999</v>
      </c>
      <c r="E537" t="s">
        <v>145</v>
      </c>
      <c r="F537" t="s">
        <v>305</v>
      </c>
      <c r="G537">
        <v>-122.34347</v>
      </c>
      <c r="H537">
        <v>47.712314999999997</v>
      </c>
      <c r="I537" t="s">
        <v>610</v>
      </c>
      <c r="J537">
        <f t="shared" si="8"/>
        <v>1</v>
      </c>
      <c r="K537">
        <v>3</v>
      </c>
    </row>
    <row r="538" spans="1:11" x14ac:dyDescent="0.25">
      <c r="A538">
        <v>1702864</v>
      </c>
      <c r="B538">
        <v>245</v>
      </c>
      <c r="C538" t="s">
        <v>32</v>
      </c>
      <c r="D538" s="1">
        <v>42456.54583333333</v>
      </c>
      <c r="E538" t="s">
        <v>81</v>
      </c>
      <c r="F538" t="s">
        <v>135</v>
      </c>
      <c r="G538">
        <v>-122.34742</v>
      </c>
      <c r="H538">
        <v>47.615085999999998</v>
      </c>
      <c r="I538" t="s">
        <v>510</v>
      </c>
      <c r="J538">
        <f t="shared" si="8"/>
        <v>2</v>
      </c>
      <c r="K538">
        <v>3</v>
      </c>
    </row>
    <row r="539" spans="1:11" x14ac:dyDescent="0.25">
      <c r="A539">
        <v>1702865</v>
      </c>
      <c r="B539">
        <v>281</v>
      </c>
      <c r="C539" t="s">
        <v>26</v>
      </c>
      <c r="D539" s="1">
        <v>42456.54791666667</v>
      </c>
      <c r="E539" t="s">
        <v>64</v>
      </c>
      <c r="F539" t="s">
        <v>215</v>
      </c>
      <c r="G539">
        <v>-122.34984</v>
      </c>
      <c r="H539">
        <v>47.571010000000001</v>
      </c>
      <c r="I539" t="s">
        <v>611</v>
      </c>
      <c r="J539">
        <f t="shared" si="8"/>
        <v>1</v>
      </c>
      <c r="K539">
        <v>3</v>
      </c>
    </row>
    <row r="540" spans="1:11" x14ac:dyDescent="0.25">
      <c r="A540">
        <v>1702866</v>
      </c>
      <c r="B540">
        <v>281</v>
      </c>
      <c r="C540" t="s">
        <v>26</v>
      </c>
      <c r="D540" s="1">
        <v>42456.54791666667</v>
      </c>
      <c r="E540" t="s">
        <v>78</v>
      </c>
      <c r="F540" t="s">
        <v>113</v>
      </c>
      <c r="G540">
        <v>-122.35446</v>
      </c>
      <c r="H540">
        <v>47.65775</v>
      </c>
      <c r="I540" t="s">
        <v>612</v>
      </c>
      <c r="J540">
        <f t="shared" si="8"/>
        <v>1</v>
      </c>
      <c r="K540">
        <v>0</v>
      </c>
    </row>
    <row r="541" spans="1:11" x14ac:dyDescent="0.25">
      <c r="A541">
        <v>1702867</v>
      </c>
      <c r="B541">
        <v>31</v>
      </c>
      <c r="C541" t="s">
        <v>344</v>
      </c>
      <c r="D541" s="1">
        <v>42456.54583333333</v>
      </c>
      <c r="E541" t="s">
        <v>145</v>
      </c>
      <c r="F541" t="s">
        <v>305</v>
      </c>
      <c r="G541">
        <v>-122.344894</v>
      </c>
      <c r="H541">
        <v>47.717174999999997</v>
      </c>
      <c r="I541" t="s">
        <v>613</v>
      </c>
      <c r="J541">
        <f t="shared" si="8"/>
        <v>3</v>
      </c>
      <c r="K541">
        <v>3</v>
      </c>
    </row>
    <row r="542" spans="1:11" x14ac:dyDescent="0.25">
      <c r="A542">
        <v>1702868</v>
      </c>
      <c r="B542">
        <v>200</v>
      </c>
      <c r="C542" t="s">
        <v>187</v>
      </c>
      <c r="D542" s="1">
        <v>42456.552777777775</v>
      </c>
      <c r="E542" t="s">
        <v>19</v>
      </c>
      <c r="F542" t="s">
        <v>50</v>
      </c>
      <c r="G542">
        <v>-122.32896</v>
      </c>
      <c r="H542">
        <v>47.554139999999997</v>
      </c>
      <c r="I542" t="s">
        <v>614</v>
      </c>
      <c r="J542">
        <f t="shared" si="8"/>
        <v>1</v>
      </c>
      <c r="K542">
        <v>3</v>
      </c>
    </row>
    <row r="543" spans="1:11" x14ac:dyDescent="0.25">
      <c r="A543">
        <v>1702869</v>
      </c>
      <c r="B543">
        <v>280</v>
      </c>
      <c r="C543" t="s">
        <v>22</v>
      </c>
      <c r="D543" s="1">
        <v>42456.55</v>
      </c>
      <c r="E543" t="s">
        <v>95</v>
      </c>
      <c r="F543" t="s">
        <v>367</v>
      </c>
      <c r="G543">
        <v>-122.304016</v>
      </c>
      <c r="H543">
        <v>47.683951999999998</v>
      </c>
      <c r="I543" t="s">
        <v>615</v>
      </c>
      <c r="J543">
        <f t="shared" si="8"/>
        <v>1</v>
      </c>
      <c r="K543">
        <v>1</v>
      </c>
    </row>
    <row r="544" spans="1:11" x14ac:dyDescent="0.25">
      <c r="A544">
        <v>1702870</v>
      </c>
      <c r="B544">
        <v>470</v>
      </c>
      <c r="C544" t="s">
        <v>14</v>
      </c>
      <c r="D544" s="1">
        <v>42456.551388888889</v>
      </c>
      <c r="E544" t="s">
        <v>15</v>
      </c>
      <c r="F544" t="s">
        <v>16</v>
      </c>
      <c r="G544">
        <v>-122.31153</v>
      </c>
      <c r="H544">
        <v>47.609789999999997</v>
      </c>
      <c r="I544" t="s">
        <v>616</v>
      </c>
      <c r="J544">
        <f t="shared" si="8"/>
        <v>1</v>
      </c>
      <c r="K544">
        <v>1</v>
      </c>
    </row>
    <row r="545" spans="1:11" x14ac:dyDescent="0.25">
      <c r="A545">
        <v>1702871</v>
      </c>
      <c r="B545">
        <v>250</v>
      </c>
      <c r="C545" t="s">
        <v>59</v>
      </c>
      <c r="D545" s="1">
        <v>42456.551388888889</v>
      </c>
      <c r="E545" t="s">
        <v>78</v>
      </c>
      <c r="F545" t="s">
        <v>85</v>
      </c>
      <c r="G545">
        <v>-122.34263</v>
      </c>
      <c r="H545">
        <v>47.651620000000001</v>
      </c>
      <c r="I545" t="s">
        <v>617</v>
      </c>
      <c r="J545">
        <f t="shared" si="8"/>
        <v>2</v>
      </c>
      <c r="K545">
        <v>3</v>
      </c>
    </row>
    <row r="546" spans="1:11" x14ac:dyDescent="0.25">
      <c r="A546">
        <v>1702872</v>
      </c>
      <c r="B546">
        <v>63</v>
      </c>
      <c r="C546" t="s">
        <v>87</v>
      </c>
      <c r="D546" s="1">
        <v>42456.552777777775</v>
      </c>
      <c r="E546" t="s">
        <v>78</v>
      </c>
      <c r="F546" t="s">
        <v>85</v>
      </c>
      <c r="G546">
        <v>-122.33024</v>
      </c>
      <c r="H546">
        <v>47.656128000000002</v>
      </c>
      <c r="I546" t="s">
        <v>618</v>
      </c>
      <c r="J546">
        <f t="shared" si="8"/>
        <v>1</v>
      </c>
      <c r="K546">
        <v>1</v>
      </c>
    </row>
    <row r="547" spans="1:11" x14ac:dyDescent="0.25">
      <c r="A547">
        <v>1702873</v>
      </c>
      <c r="B547">
        <v>188</v>
      </c>
      <c r="C547" t="s">
        <v>568</v>
      </c>
      <c r="D547" s="1">
        <v>42456.557638888888</v>
      </c>
      <c r="E547" t="s">
        <v>43</v>
      </c>
      <c r="F547" t="s">
        <v>218</v>
      </c>
      <c r="G547">
        <v>-122.331085</v>
      </c>
      <c r="H547">
        <v>47.602412999999999</v>
      </c>
      <c r="I547" t="s">
        <v>433</v>
      </c>
      <c r="J547">
        <f t="shared" si="8"/>
        <v>8</v>
      </c>
      <c r="K547">
        <v>3</v>
      </c>
    </row>
    <row r="548" spans="1:11" x14ac:dyDescent="0.25">
      <c r="A548">
        <v>1702874</v>
      </c>
      <c r="B548">
        <v>280</v>
      </c>
      <c r="C548" t="s">
        <v>22</v>
      </c>
      <c r="D548" s="1">
        <v>42456.556944444441</v>
      </c>
      <c r="E548" t="s">
        <v>81</v>
      </c>
      <c r="F548" t="s">
        <v>135</v>
      </c>
      <c r="G548">
        <v>-122.354225</v>
      </c>
      <c r="H548">
        <v>47.615585000000003</v>
      </c>
      <c r="I548" t="s">
        <v>619</v>
      </c>
      <c r="J548">
        <f t="shared" si="8"/>
        <v>1</v>
      </c>
      <c r="K548">
        <v>1</v>
      </c>
    </row>
    <row r="549" spans="1:11" x14ac:dyDescent="0.25">
      <c r="A549">
        <v>1702875</v>
      </c>
      <c r="B549">
        <v>250</v>
      </c>
      <c r="C549" t="s">
        <v>59</v>
      </c>
      <c r="D549" s="1">
        <v>42456.561111111114</v>
      </c>
      <c r="E549" t="s">
        <v>78</v>
      </c>
      <c r="F549" t="s">
        <v>113</v>
      </c>
      <c r="G549">
        <v>-122.36394</v>
      </c>
      <c r="H549">
        <v>47.656930000000003</v>
      </c>
      <c r="I549" t="s">
        <v>620</v>
      </c>
      <c r="J549">
        <f t="shared" si="8"/>
        <v>1</v>
      </c>
      <c r="K549">
        <v>2</v>
      </c>
    </row>
    <row r="550" spans="1:11" x14ac:dyDescent="0.25">
      <c r="A550">
        <v>1702876</v>
      </c>
      <c r="B550">
        <v>63</v>
      </c>
      <c r="C550" t="s">
        <v>87</v>
      </c>
      <c r="D550" s="1">
        <v>42456.556944444441</v>
      </c>
      <c r="E550" t="s">
        <v>145</v>
      </c>
      <c r="F550" t="s">
        <v>146</v>
      </c>
      <c r="G550">
        <v>-122.34329</v>
      </c>
      <c r="H550">
        <v>47.700519999999997</v>
      </c>
      <c r="I550" t="s">
        <v>621</v>
      </c>
      <c r="J550">
        <f t="shared" si="8"/>
        <v>1</v>
      </c>
      <c r="K550">
        <v>1</v>
      </c>
    </row>
    <row r="551" spans="1:11" x14ac:dyDescent="0.25">
      <c r="A551">
        <v>1702877</v>
      </c>
      <c r="B551">
        <v>242</v>
      </c>
      <c r="C551" t="s">
        <v>10</v>
      </c>
      <c r="D551" s="1">
        <v>42456.570833333331</v>
      </c>
      <c r="E551" t="s">
        <v>15</v>
      </c>
      <c r="F551" t="s">
        <v>390</v>
      </c>
      <c r="G551">
        <v>-122.30224</v>
      </c>
      <c r="H551">
        <v>47.59928</v>
      </c>
      <c r="I551" t="s">
        <v>622</v>
      </c>
      <c r="J551">
        <f t="shared" si="8"/>
        <v>1</v>
      </c>
      <c r="K551">
        <v>1</v>
      </c>
    </row>
    <row r="552" spans="1:11" x14ac:dyDescent="0.25">
      <c r="A552">
        <v>1702878</v>
      </c>
      <c r="B552">
        <v>470</v>
      </c>
      <c r="C552" t="s">
        <v>14</v>
      </c>
      <c r="D552" s="1">
        <v>42456.568749999999</v>
      </c>
      <c r="E552" t="s">
        <v>71</v>
      </c>
      <c r="F552" t="s">
        <v>110</v>
      </c>
      <c r="G552">
        <v>-122.27809000000001</v>
      </c>
      <c r="H552">
        <v>47.530630000000002</v>
      </c>
      <c r="I552" t="s">
        <v>623</v>
      </c>
      <c r="J552">
        <f t="shared" si="8"/>
        <v>3</v>
      </c>
      <c r="K552">
        <v>2</v>
      </c>
    </row>
    <row r="553" spans="1:11" x14ac:dyDescent="0.25">
      <c r="A553">
        <v>1702879</v>
      </c>
      <c r="B553">
        <v>63</v>
      </c>
      <c r="C553" t="s">
        <v>87</v>
      </c>
      <c r="D553" s="1">
        <v>42456.5625</v>
      </c>
      <c r="E553" t="s">
        <v>43</v>
      </c>
      <c r="F553" t="s">
        <v>102</v>
      </c>
      <c r="G553">
        <v>-122.33369399999999</v>
      </c>
      <c r="H553">
        <v>47.605266999999998</v>
      </c>
      <c r="I553" t="s">
        <v>624</v>
      </c>
      <c r="J553">
        <f t="shared" si="8"/>
        <v>1</v>
      </c>
      <c r="K553">
        <v>1</v>
      </c>
    </row>
    <row r="554" spans="1:11" x14ac:dyDescent="0.25">
      <c r="A554">
        <v>1702880</v>
      </c>
      <c r="B554">
        <v>71</v>
      </c>
      <c r="C554" t="s">
        <v>142</v>
      </c>
      <c r="D554" s="1">
        <v>42456.567361111112</v>
      </c>
      <c r="E554" t="s">
        <v>104</v>
      </c>
      <c r="F554" t="s">
        <v>181</v>
      </c>
      <c r="G554">
        <v>-122.36450000000001</v>
      </c>
      <c r="H554">
        <v>47.533700000000003</v>
      </c>
      <c r="I554" t="s">
        <v>625</v>
      </c>
      <c r="J554">
        <f t="shared" si="8"/>
        <v>1</v>
      </c>
      <c r="K554">
        <v>3</v>
      </c>
    </row>
    <row r="555" spans="1:11" x14ac:dyDescent="0.25">
      <c r="A555">
        <v>1702881</v>
      </c>
      <c r="B555">
        <v>161</v>
      </c>
      <c r="C555" t="s">
        <v>35</v>
      </c>
      <c r="D555" s="1">
        <v>42456.573611111111</v>
      </c>
      <c r="E555" t="s">
        <v>130</v>
      </c>
      <c r="F555" t="s">
        <v>272</v>
      </c>
      <c r="G555">
        <v>-122.31786</v>
      </c>
      <c r="H555">
        <v>47.709389999999999</v>
      </c>
      <c r="I555" t="s">
        <v>358</v>
      </c>
      <c r="J555">
        <f t="shared" si="8"/>
        <v>4</v>
      </c>
      <c r="K555">
        <v>1</v>
      </c>
    </row>
    <row r="556" spans="1:11" x14ac:dyDescent="0.25">
      <c r="A556">
        <v>1702882</v>
      </c>
      <c r="B556">
        <v>130</v>
      </c>
      <c r="C556" t="s">
        <v>248</v>
      </c>
      <c r="D556" s="1">
        <v>42456.572916666664</v>
      </c>
      <c r="E556" t="s">
        <v>43</v>
      </c>
      <c r="F556" t="s">
        <v>218</v>
      </c>
      <c r="G556">
        <v>-122.33158</v>
      </c>
      <c r="H556">
        <v>47.598286000000002</v>
      </c>
      <c r="I556" t="s">
        <v>626</v>
      </c>
      <c r="J556">
        <f t="shared" si="8"/>
        <v>1</v>
      </c>
      <c r="K556">
        <v>0</v>
      </c>
    </row>
    <row r="557" spans="1:11" x14ac:dyDescent="0.25">
      <c r="A557">
        <v>1702883</v>
      </c>
      <c r="B557">
        <v>460</v>
      </c>
      <c r="C557" t="s">
        <v>18</v>
      </c>
      <c r="D557" s="1">
        <v>42456.581250000003</v>
      </c>
      <c r="E557" t="s">
        <v>71</v>
      </c>
      <c r="F557" t="s">
        <v>126</v>
      </c>
      <c r="G557">
        <v>-122.31416</v>
      </c>
      <c r="H557">
        <v>47.601689999999998</v>
      </c>
      <c r="I557" t="s">
        <v>627</v>
      </c>
      <c r="J557">
        <f t="shared" si="8"/>
        <v>1</v>
      </c>
      <c r="K557">
        <v>0</v>
      </c>
    </row>
    <row r="558" spans="1:11" x14ac:dyDescent="0.25">
      <c r="A558">
        <v>1702884</v>
      </c>
      <c r="B558">
        <v>245</v>
      </c>
      <c r="C558" t="s">
        <v>32</v>
      </c>
      <c r="D558" s="1">
        <v>42456.582638888889</v>
      </c>
      <c r="E558" t="s">
        <v>29</v>
      </c>
      <c r="F558" t="s">
        <v>156</v>
      </c>
      <c r="G558">
        <v>-122.28744500000001</v>
      </c>
      <c r="H558">
        <v>47.539096999999998</v>
      </c>
      <c r="I558" t="s">
        <v>628</v>
      </c>
      <c r="J558">
        <f t="shared" si="8"/>
        <v>1</v>
      </c>
      <c r="K558">
        <v>1</v>
      </c>
    </row>
    <row r="559" spans="1:11" x14ac:dyDescent="0.25">
      <c r="A559">
        <v>1702885</v>
      </c>
      <c r="B559">
        <v>470</v>
      </c>
      <c r="C559" t="s">
        <v>14</v>
      </c>
      <c r="D559" s="1">
        <v>42456.576388888891</v>
      </c>
      <c r="E559" t="s">
        <v>64</v>
      </c>
      <c r="F559" t="s">
        <v>332</v>
      </c>
      <c r="G559">
        <v>-122.37223</v>
      </c>
      <c r="H559">
        <v>47.503386999999996</v>
      </c>
      <c r="I559" t="s">
        <v>629</v>
      </c>
      <c r="J559">
        <f t="shared" si="8"/>
        <v>1</v>
      </c>
      <c r="K559">
        <v>4</v>
      </c>
    </row>
    <row r="560" spans="1:11" x14ac:dyDescent="0.25">
      <c r="A560">
        <v>1702886</v>
      </c>
      <c r="B560">
        <v>430</v>
      </c>
      <c r="C560" t="s">
        <v>70</v>
      </c>
      <c r="D560" s="1">
        <v>42456.582638888889</v>
      </c>
      <c r="E560" t="s">
        <v>40</v>
      </c>
      <c r="F560" t="s">
        <v>151</v>
      </c>
      <c r="G560">
        <v>-122.29688</v>
      </c>
      <c r="H560">
        <v>47.610011999999998</v>
      </c>
      <c r="I560" t="s">
        <v>630</v>
      </c>
      <c r="J560">
        <f t="shared" si="8"/>
        <v>1</v>
      </c>
      <c r="K560">
        <v>3</v>
      </c>
    </row>
    <row r="561" spans="1:11" x14ac:dyDescent="0.25">
      <c r="A561">
        <v>1702887</v>
      </c>
      <c r="B561">
        <v>161</v>
      </c>
      <c r="C561" t="s">
        <v>35</v>
      </c>
      <c r="D561" s="1">
        <v>42456.591666666667</v>
      </c>
      <c r="E561" t="s">
        <v>104</v>
      </c>
      <c r="F561" t="s">
        <v>181</v>
      </c>
      <c r="G561">
        <v>-122.35785</v>
      </c>
      <c r="H561">
        <v>47.518279999999997</v>
      </c>
      <c r="I561" t="s">
        <v>631</v>
      </c>
      <c r="J561">
        <f t="shared" si="8"/>
        <v>2</v>
      </c>
      <c r="K561">
        <v>1</v>
      </c>
    </row>
    <row r="562" spans="1:11" x14ac:dyDescent="0.25">
      <c r="A562">
        <v>1702888</v>
      </c>
      <c r="B562">
        <v>161</v>
      </c>
      <c r="C562" t="s">
        <v>35</v>
      </c>
      <c r="D562" s="1">
        <v>42456.595138888886</v>
      </c>
      <c r="E562" t="s">
        <v>71</v>
      </c>
      <c r="F562" t="s">
        <v>110</v>
      </c>
      <c r="G562">
        <v>-122.342354</v>
      </c>
      <c r="H562">
        <v>47.607666000000002</v>
      </c>
      <c r="I562" t="s">
        <v>632</v>
      </c>
      <c r="J562">
        <f t="shared" si="8"/>
        <v>1</v>
      </c>
      <c r="K562">
        <v>3</v>
      </c>
    </row>
    <row r="563" spans="1:11" x14ac:dyDescent="0.25">
      <c r="A563">
        <v>1702889</v>
      </c>
      <c r="B563">
        <v>65</v>
      </c>
      <c r="C563" t="s">
        <v>39</v>
      </c>
      <c r="D563" s="1">
        <v>42456.594444444447</v>
      </c>
      <c r="E563" t="s">
        <v>67</v>
      </c>
      <c r="F563" t="s">
        <v>68</v>
      </c>
      <c r="G563">
        <v>-122.33732000000001</v>
      </c>
      <c r="H563">
        <v>47.611319999999999</v>
      </c>
      <c r="I563" t="s">
        <v>223</v>
      </c>
      <c r="J563">
        <f t="shared" si="8"/>
        <v>7</v>
      </c>
      <c r="K563">
        <v>0</v>
      </c>
    </row>
    <row r="564" spans="1:11" x14ac:dyDescent="0.25">
      <c r="A564">
        <v>1702890</v>
      </c>
      <c r="B564">
        <v>430</v>
      </c>
      <c r="C564" t="s">
        <v>70</v>
      </c>
      <c r="D564" s="1">
        <v>42456.59097222222</v>
      </c>
      <c r="E564" t="s">
        <v>23</v>
      </c>
      <c r="F564" t="s">
        <v>88</v>
      </c>
      <c r="G564">
        <v>-122.35805999999999</v>
      </c>
      <c r="H564">
        <v>47.619022000000001</v>
      </c>
      <c r="I564" t="s">
        <v>633</v>
      </c>
      <c r="J564">
        <f t="shared" si="8"/>
        <v>1</v>
      </c>
      <c r="K564">
        <v>3</v>
      </c>
    </row>
    <row r="565" spans="1:11" x14ac:dyDescent="0.25">
      <c r="A565">
        <v>1702891</v>
      </c>
      <c r="B565">
        <v>350</v>
      </c>
      <c r="C565" t="s">
        <v>76</v>
      </c>
      <c r="D565" s="1">
        <v>42456.605555555558</v>
      </c>
      <c r="E565" t="s">
        <v>145</v>
      </c>
      <c r="F565" t="s">
        <v>146</v>
      </c>
      <c r="G565">
        <v>-122.34482</v>
      </c>
      <c r="H565">
        <v>47.712319999999998</v>
      </c>
      <c r="I565" t="s">
        <v>634</v>
      </c>
      <c r="J565">
        <f t="shared" si="8"/>
        <v>2</v>
      </c>
      <c r="K565">
        <v>0</v>
      </c>
    </row>
    <row r="566" spans="1:11" x14ac:dyDescent="0.25">
      <c r="A566">
        <v>1702892</v>
      </c>
      <c r="B566">
        <v>430</v>
      </c>
      <c r="C566" t="s">
        <v>70</v>
      </c>
      <c r="D566" s="1">
        <v>42456.61041666667</v>
      </c>
      <c r="E566" t="s">
        <v>130</v>
      </c>
      <c r="F566" t="s">
        <v>272</v>
      </c>
      <c r="G566">
        <v>-122.32349000000001</v>
      </c>
      <c r="H566">
        <v>47.734050000000003</v>
      </c>
      <c r="I566" t="s">
        <v>635</v>
      </c>
      <c r="J566">
        <f t="shared" si="8"/>
        <v>1</v>
      </c>
      <c r="K566">
        <v>0</v>
      </c>
    </row>
    <row r="567" spans="1:11" x14ac:dyDescent="0.25">
      <c r="A567">
        <v>1702893</v>
      </c>
      <c r="B567">
        <v>470</v>
      </c>
      <c r="C567" t="s">
        <v>14</v>
      </c>
      <c r="D567" s="1">
        <v>42456.599305555559</v>
      </c>
      <c r="E567" t="s">
        <v>47</v>
      </c>
      <c r="F567" t="s">
        <v>48</v>
      </c>
      <c r="G567">
        <v>-122.3156</v>
      </c>
      <c r="H567">
        <v>47.618195</v>
      </c>
      <c r="I567" t="s">
        <v>636</v>
      </c>
      <c r="J567">
        <f t="shared" si="8"/>
        <v>1</v>
      </c>
      <c r="K567">
        <v>0</v>
      </c>
    </row>
    <row r="568" spans="1:11" x14ac:dyDescent="0.25">
      <c r="A568">
        <v>1702894</v>
      </c>
      <c r="B568">
        <v>280</v>
      </c>
      <c r="C568" t="s">
        <v>22</v>
      </c>
      <c r="D568" s="1">
        <v>42456.6</v>
      </c>
      <c r="E568" t="s">
        <v>23</v>
      </c>
      <c r="F568" t="s">
        <v>189</v>
      </c>
      <c r="G568">
        <v>-122.35554500000001</v>
      </c>
      <c r="H568">
        <v>47.643680000000003</v>
      </c>
      <c r="I568" t="s">
        <v>637</v>
      </c>
      <c r="J568">
        <f t="shared" si="8"/>
        <v>1</v>
      </c>
      <c r="K568">
        <v>2</v>
      </c>
    </row>
    <row r="569" spans="1:11" x14ac:dyDescent="0.25">
      <c r="A569">
        <v>1702895</v>
      </c>
      <c r="B569">
        <v>470</v>
      </c>
      <c r="C569" t="s">
        <v>14</v>
      </c>
      <c r="D569" s="1">
        <v>42456.600694444445</v>
      </c>
      <c r="E569" t="s">
        <v>52</v>
      </c>
      <c r="F569" t="s">
        <v>120</v>
      </c>
      <c r="G569">
        <v>-122.35805999999999</v>
      </c>
      <c r="H569">
        <v>47.697839999999999</v>
      </c>
      <c r="I569" t="s">
        <v>638</v>
      </c>
      <c r="J569">
        <f t="shared" si="8"/>
        <v>1</v>
      </c>
      <c r="K569">
        <v>1</v>
      </c>
    </row>
    <row r="570" spans="1:11" x14ac:dyDescent="0.25">
      <c r="A570">
        <v>1702896</v>
      </c>
      <c r="B570">
        <v>280</v>
      </c>
      <c r="C570" t="s">
        <v>22</v>
      </c>
      <c r="D570" s="1">
        <v>42456.597222222219</v>
      </c>
      <c r="E570" t="s">
        <v>71</v>
      </c>
      <c r="F570" t="s">
        <v>72</v>
      </c>
      <c r="G570">
        <v>-122.32342</v>
      </c>
      <c r="H570">
        <v>47.613529999999997</v>
      </c>
      <c r="I570" t="s">
        <v>639</v>
      </c>
      <c r="J570">
        <f t="shared" si="8"/>
        <v>1</v>
      </c>
      <c r="K570">
        <v>0</v>
      </c>
    </row>
    <row r="571" spans="1:11" x14ac:dyDescent="0.25">
      <c r="A571">
        <v>1702897</v>
      </c>
      <c r="B571">
        <v>74</v>
      </c>
      <c r="C571" t="s">
        <v>94</v>
      </c>
      <c r="D571" s="1">
        <v>42456.598611111112</v>
      </c>
      <c r="E571" t="s">
        <v>78</v>
      </c>
      <c r="F571" t="s">
        <v>79</v>
      </c>
      <c r="G571">
        <v>-122.38348999999999</v>
      </c>
      <c r="H571">
        <v>47.667830000000002</v>
      </c>
      <c r="I571" t="s">
        <v>640</v>
      </c>
      <c r="J571">
        <f t="shared" si="8"/>
        <v>1</v>
      </c>
      <c r="K571">
        <v>1</v>
      </c>
    </row>
    <row r="572" spans="1:11" x14ac:dyDescent="0.25">
      <c r="A572">
        <v>1702898</v>
      </c>
      <c r="B572">
        <v>450</v>
      </c>
      <c r="C572" t="s">
        <v>266</v>
      </c>
      <c r="D572" s="1">
        <v>42456.6</v>
      </c>
      <c r="E572" t="s">
        <v>145</v>
      </c>
      <c r="F572" t="s">
        <v>146</v>
      </c>
      <c r="G572">
        <v>-122.34482</v>
      </c>
      <c r="H572">
        <v>47.712319999999998</v>
      </c>
      <c r="I572" t="s">
        <v>634</v>
      </c>
      <c r="J572">
        <f t="shared" si="8"/>
        <v>2</v>
      </c>
      <c r="K572">
        <v>2</v>
      </c>
    </row>
    <row r="573" spans="1:11" x14ac:dyDescent="0.25">
      <c r="A573">
        <v>1702899</v>
      </c>
      <c r="B573">
        <v>430</v>
      </c>
      <c r="C573" t="s">
        <v>70</v>
      </c>
      <c r="D573" s="1">
        <v>42456.609027777777</v>
      </c>
      <c r="E573" t="s">
        <v>104</v>
      </c>
      <c r="F573" t="s">
        <v>184</v>
      </c>
      <c r="G573">
        <v>-122.36156</v>
      </c>
      <c r="H573">
        <v>47.559685000000002</v>
      </c>
      <c r="I573" t="s">
        <v>641</v>
      </c>
      <c r="J573">
        <f t="shared" si="8"/>
        <v>1</v>
      </c>
      <c r="K573">
        <v>4</v>
      </c>
    </row>
    <row r="574" spans="1:11" x14ac:dyDescent="0.25">
      <c r="A574">
        <v>1702900</v>
      </c>
      <c r="B574">
        <v>177</v>
      </c>
      <c r="C574" t="s">
        <v>61</v>
      </c>
      <c r="D574" s="1">
        <v>42456.616666666669</v>
      </c>
      <c r="E574" t="s">
        <v>43</v>
      </c>
      <c r="F574" t="s">
        <v>44</v>
      </c>
      <c r="G574">
        <v>-122.33081</v>
      </c>
      <c r="H574">
        <v>47.600464000000002</v>
      </c>
      <c r="I574" t="s">
        <v>45</v>
      </c>
      <c r="J574">
        <f t="shared" si="8"/>
        <v>17</v>
      </c>
      <c r="K574">
        <v>0</v>
      </c>
    </row>
    <row r="575" spans="1:11" x14ac:dyDescent="0.25">
      <c r="A575">
        <v>1702901</v>
      </c>
      <c r="B575">
        <v>220</v>
      </c>
      <c r="C575" t="s">
        <v>173</v>
      </c>
      <c r="D575" s="1">
        <v>42456.626388888886</v>
      </c>
      <c r="E575" t="s">
        <v>104</v>
      </c>
      <c r="F575" t="s">
        <v>184</v>
      </c>
      <c r="G575">
        <v>-122.363174</v>
      </c>
      <c r="H575">
        <v>47.534607000000001</v>
      </c>
      <c r="I575" t="s">
        <v>642</v>
      </c>
      <c r="J575">
        <f t="shared" si="8"/>
        <v>1</v>
      </c>
      <c r="K575">
        <v>1</v>
      </c>
    </row>
    <row r="576" spans="1:11" x14ac:dyDescent="0.25">
      <c r="A576">
        <v>1702902</v>
      </c>
      <c r="B576">
        <v>65</v>
      </c>
      <c r="C576" t="s">
        <v>39</v>
      </c>
      <c r="D576" s="1">
        <v>42456.623611111114</v>
      </c>
      <c r="E576" t="s">
        <v>81</v>
      </c>
      <c r="F576" t="s">
        <v>135</v>
      </c>
      <c r="G576">
        <v>-122.34797</v>
      </c>
      <c r="H576">
        <v>47.616576999999999</v>
      </c>
      <c r="I576" t="s">
        <v>643</v>
      </c>
      <c r="J576">
        <f t="shared" si="8"/>
        <v>1</v>
      </c>
      <c r="K576">
        <v>0</v>
      </c>
    </row>
    <row r="577" spans="1:11" x14ac:dyDescent="0.25">
      <c r="A577">
        <v>1702903</v>
      </c>
      <c r="B577">
        <v>161</v>
      </c>
      <c r="C577" t="s">
        <v>35</v>
      </c>
      <c r="D577" s="1">
        <v>42456.615277777775</v>
      </c>
      <c r="E577" t="s">
        <v>67</v>
      </c>
      <c r="F577" t="s">
        <v>100</v>
      </c>
      <c r="G577">
        <v>-122.34022</v>
      </c>
      <c r="H577">
        <v>47.607365000000001</v>
      </c>
      <c r="I577" t="s">
        <v>357</v>
      </c>
      <c r="J577">
        <f t="shared" si="8"/>
        <v>3</v>
      </c>
      <c r="K577">
        <v>2</v>
      </c>
    </row>
    <row r="578" spans="1:11" x14ac:dyDescent="0.25">
      <c r="A578">
        <v>1702904</v>
      </c>
      <c r="B578">
        <v>350</v>
      </c>
      <c r="C578" t="s">
        <v>76</v>
      </c>
      <c r="D578" s="1">
        <v>42456.612500000003</v>
      </c>
      <c r="E578" t="s">
        <v>71</v>
      </c>
      <c r="F578" t="s">
        <v>126</v>
      </c>
      <c r="G578">
        <v>-122.289925</v>
      </c>
      <c r="H578">
        <v>47.568882000000002</v>
      </c>
      <c r="I578" t="s">
        <v>644</v>
      </c>
      <c r="J578">
        <f t="shared" ref="J578:J641" si="9">COUNTIF($I$2:$I$1046,I578)</f>
        <v>2</v>
      </c>
      <c r="K578">
        <v>3</v>
      </c>
    </row>
    <row r="579" spans="1:11" x14ac:dyDescent="0.25">
      <c r="A579">
        <v>1702905</v>
      </c>
      <c r="B579">
        <v>465</v>
      </c>
      <c r="C579" t="s">
        <v>645</v>
      </c>
      <c r="D579" s="1">
        <v>42456.624305555553</v>
      </c>
      <c r="E579" t="s">
        <v>71</v>
      </c>
      <c r="F579" t="s">
        <v>126</v>
      </c>
      <c r="G579">
        <v>-122.30325999999999</v>
      </c>
      <c r="H579">
        <v>47.58502</v>
      </c>
      <c r="I579" t="s">
        <v>646</v>
      </c>
      <c r="J579">
        <f t="shared" si="9"/>
        <v>1</v>
      </c>
      <c r="K579">
        <v>1</v>
      </c>
    </row>
    <row r="580" spans="1:11" x14ac:dyDescent="0.25">
      <c r="A580">
        <v>1702906</v>
      </c>
      <c r="B580">
        <v>63</v>
      </c>
      <c r="C580" t="s">
        <v>87</v>
      </c>
      <c r="D580" s="1">
        <v>42456.617361111108</v>
      </c>
      <c r="E580" t="s">
        <v>29</v>
      </c>
      <c r="F580" t="s">
        <v>156</v>
      </c>
      <c r="G580">
        <v>-122.3009</v>
      </c>
      <c r="H580">
        <v>47.548220000000001</v>
      </c>
      <c r="I580" t="s">
        <v>647</v>
      </c>
      <c r="J580">
        <f t="shared" si="9"/>
        <v>1</v>
      </c>
      <c r="K580">
        <v>2</v>
      </c>
    </row>
    <row r="581" spans="1:11" x14ac:dyDescent="0.25">
      <c r="A581">
        <v>1702907</v>
      </c>
      <c r="B581">
        <v>51</v>
      </c>
      <c r="C581" t="s">
        <v>117</v>
      </c>
      <c r="D581" s="1">
        <v>42456.626388888886</v>
      </c>
      <c r="E581" t="s">
        <v>145</v>
      </c>
      <c r="F581" t="s">
        <v>314</v>
      </c>
      <c r="G581">
        <v>-122.35545999999999</v>
      </c>
      <c r="H581">
        <v>47.70599</v>
      </c>
      <c r="I581" t="s">
        <v>377</v>
      </c>
      <c r="J581">
        <f t="shared" si="9"/>
        <v>3</v>
      </c>
      <c r="K581">
        <v>1</v>
      </c>
    </row>
    <row r="582" spans="1:11" x14ac:dyDescent="0.25">
      <c r="A582">
        <v>1702908</v>
      </c>
      <c r="B582">
        <v>280</v>
      </c>
      <c r="C582" t="s">
        <v>22</v>
      </c>
      <c r="D582" s="1">
        <v>42456.634722222225</v>
      </c>
      <c r="E582" t="s">
        <v>104</v>
      </c>
      <c r="F582" t="s">
        <v>105</v>
      </c>
      <c r="G582">
        <v>-122.35505999999999</v>
      </c>
      <c r="H582">
        <v>47.529181999999999</v>
      </c>
      <c r="I582" t="s">
        <v>648</v>
      </c>
      <c r="J582">
        <f t="shared" si="9"/>
        <v>1</v>
      </c>
      <c r="K582">
        <v>2</v>
      </c>
    </row>
    <row r="583" spans="1:11" x14ac:dyDescent="0.25">
      <c r="A583">
        <v>1702909</v>
      </c>
      <c r="B583">
        <v>245</v>
      </c>
      <c r="C583" t="s">
        <v>32</v>
      </c>
      <c r="D583" s="1">
        <v>42456.631944444445</v>
      </c>
      <c r="E583" t="s">
        <v>40</v>
      </c>
      <c r="F583" t="s">
        <v>151</v>
      </c>
      <c r="G583">
        <v>-122.303635</v>
      </c>
      <c r="H583">
        <v>47.612929999999999</v>
      </c>
      <c r="I583" t="s">
        <v>649</v>
      </c>
      <c r="J583">
        <f t="shared" si="9"/>
        <v>1</v>
      </c>
      <c r="K583">
        <v>1</v>
      </c>
    </row>
    <row r="584" spans="1:11" x14ac:dyDescent="0.25">
      <c r="A584">
        <v>1702910</v>
      </c>
      <c r="B584">
        <v>201</v>
      </c>
      <c r="C584" t="s">
        <v>36</v>
      </c>
      <c r="D584" s="1">
        <v>42456.636805555558</v>
      </c>
      <c r="E584" t="s">
        <v>29</v>
      </c>
      <c r="F584" t="s">
        <v>156</v>
      </c>
      <c r="G584">
        <v>-122.28937999999999</v>
      </c>
      <c r="H584">
        <v>47.546546999999997</v>
      </c>
      <c r="I584" t="s">
        <v>650</v>
      </c>
      <c r="J584">
        <f t="shared" si="9"/>
        <v>1</v>
      </c>
      <c r="K584">
        <v>2</v>
      </c>
    </row>
    <row r="585" spans="1:11" x14ac:dyDescent="0.25">
      <c r="A585">
        <v>1702911</v>
      </c>
      <c r="B585">
        <v>130</v>
      </c>
      <c r="C585" t="s">
        <v>248</v>
      </c>
      <c r="D585" s="1">
        <v>42456.634027777778</v>
      </c>
      <c r="E585" t="s">
        <v>145</v>
      </c>
      <c r="F585" t="s">
        <v>146</v>
      </c>
      <c r="G585">
        <v>-122.343346</v>
      </c>
      <c r="H585">
        <v>47.705962999999997</v>
      </c>
      <c r="I585" t="s">
        <v>651</v>
      </c>
      <c r="J585">
        <f t="shared" si="9"/>
        <v>1</v>
      </c>
      <c r="K585">
        <v>2</v>
      </c>
    </row>
    <row r="586" spans="1:11" x14ac:dyDescent="0.25">
      <c r="A586">
        <v>1702912</v>
      </c>
      <c r="B586">
        <v>177</v>
      </c>
      <c r="C586" t="s">
        <v>61</v>
      </c>
      <c r="D586" s="1">
        <v>42456.643750000003</v>
      </c>
      <c r="E586" t="s">
        <v>15</v>
      </c>
      <c r="F586" t="s">
        <v>92</v>
      </c>
      <c r="G586">
        <v>-122.31722000000001</v>
      </c>
      <c r="H586">
        <v>47.599186000000003</v>
      </c>
      <c r="I586" t="s">
        <v>148</v>
      </c>
      <c r="J586">
        <f t="shared" si="9"/>
        <v>3</v>
      </c>
      <c r="K586">
        <v>1</v>
      </c>
    </row>
    <row r="587" spans="1:11" x14ac:dyDescent="0.25">
      <c r="A587">
        <v>1702913</v>
      </c>
      <c r="B587">
        <v>430</v>
      </c>
      <c r="C587" t="s">
        <v>70</v>
      </c>
      <c r="D587" s="1">
        <v>42456.648611111108</v>
      </c>
      <c r="E587" t="s">
        <v>130</v>
      </c>
      <c r="F587" t="s">
        <v>131</v>
      </c>
      <c r="G587">
        <v>-122.29523500000001</v>
      </c>
      <c r="H587">
        <v>47.719276000000001</v>
      </c>
      <c r="I587" t="s">
        <v>652</v>
      </c>
      <c r="J587">
        <f t="shared" si="9"/>
        <v>1</v>
      </c>
      <c r="K587">
        <v>3</v>
      </c>
    </row>
    <row r="588" spans="1:11" x14ac:dyDescent="0.25">
      <c r="A588">
        <v>1702914</v>
      </c>
      <c r="B588">
        <v>245</v>
      </c>
      <c r="C588" t="s">
        <v>32</v>
      </c>
      <c r="D588" s="1">
        <v>42456.643750000003</v>
      </c>
      <c r="E588" t="s">
        <v>67</v>
      </c>
      <c r="F588" t="s">
        <v>68</v>
      </c>
      <c r="G588">
        <v>-122.3387</v>
      </c>
      <c r="H588">
        <v>47.610743999999997</v>
      </c>
      <c r="I588" t="s">
        <v>328</v>
      </c>
      <c r="J588">
        <f t="shared" si="9"/>
        <v>4</v>
      </c>
      <c r="K588">
        <v>0</v>
      </c>
    </row>
    <row r="589" spans="1:11" x14ac:dyDescent="0.25">
      <c r="A589">
        <v>1702915</v>
      </c>
      <c r="B589">
        <v>450</v>
      </c>
      <c r="C589" t="s">
        <v>266</v>
      </c>
      <c r="D589" s="1">
        <v>42456.643055555556</v>
      </c>
      <c r="E589" t="s">
        <v>23</v>
      </c>
      <c r="F589" t="s">
        <v>24</v>
      </c>
      <c r="G589">
        <v>-122.37622</v>
      </c>
      <c r="H589">
        <v>47.65399</v>
      </c>
      <c r="I589" t="s">
        <v>653</v>
      </c>
      <c r="J589">
        <f t="shared" si="9"/>
        <v>1</v>
      </c>
      <c r="K589">
        <v>0</v>
      </c>
    </row>
    <row r="590" spans="1:11" x14ac:dyDescent="0.25">
      <c r="A590">
        <v>1702916</v>
      </c>
      <c r="B590">
        <v>250</v>
      </c>
      <c r="C590" t="s">
        <v>59</v>
      </c>
      <c r="D590" s="1">
        <v>42456.648611111108</v>
      </c>
      <c r="E590" t="s">
        <v>40</v>
      </c>
      <c r="F590" t="s">
        <v>115</v>
      </c>
      <c r="G590">
        <v>-122.30461</v>
      </c>
      <c r="H590">
        <v>47.645553999999997</v>
      </c>
      <c r="I590" t="s">
        <v>163</v>
      </c>
      <c r="J590">
        <f t="shared" si="9"/>
        <v>2</v>
      </c>
      <c r="K590">
        <v>3</v>
      </c>
    </row>
    <row r="591" spans="1:11" x14ac:dyDescent="0.25">
      <c r="A591">
        <v>1702917</v>
      </c>
      <c r="B591">
        <v>470</v>
      </c>
      <c r="C591" t="s">
        <v>14</v>
      </c>
      <c r="D591" s="1">
        <v>42456.651388888888</v>
      </c>
      <c r="E591" t="s">
        <v>78</v>
      </c>
      <c r="F591" t="s">
        <v>113</v>
      </c>
      <c r="G591">
        <v>-122.35439</v>
      </c>
      <c r="H591">
        <v>47.671795000000003</v>
      </c>
      <c r="I591" t="s">
        <v>654</v>
      </c>
      <c r="J591">
        <f t="shared" si="9"/>
        <v>1</v>
      </c>
      <c r="K591">
        <v>1</v>
      </c>
    </row>
    <row r="592" spans="1:11" x14ac:dyDescent="0.25">
      <c r="A592">
        <v>1702918</v>
      </c>
      <c r="B592">
        <v>470</v>
      </c>
      <c r="C592" t="s">
        <v>14</v>
      </c>
      <c r="D592" s="1">
        <v>42456.65347222222</v>
      </c>
      <c r="E592" t="s">
        <v>71</v>
      </c>
      <c r="F592" t="s">
        <v>110</v>
      </c>
      <c r="G592">
        <v>-122.31955000000001</v>
      </c>
      <c r="H592">
        <v>47.620502000000002</v>
      </c>
      <c r="I592" t="s">
        <v>655</v>
      </c>
      <c r="J592">
        <f t="shared" si="9"/>
        <v>1</v>
      </c>
      <c r="K592">
        <v>1</v>
      </c>
    </row>
    <row r="593" spans="1:11" x14ac:dyDescent="0.25">
      <c r="A593">
        <v>1702919</v>
      </c>
      <c r="B593">
        <v>40</v>
      </c>
      <c r="C593" t="s">
        <v>119</v>
      </c>
      <c r="D593" s="1">
        <v>42456.655555555553</v>
      </c>
      <c r="E593" t="s">
        <v>78</v>
      </c>
      <c r="F593" t="s">
        <v>79</v>
      </c>
      <c r="G593">
        <v>-122.38759</v>
      </c>
      <c r="H593">
        <v>47.673099999999998</v>
      </c>
      <c r="I593" t="s">
        <v>656</v>
      </c>
      <c r="J593">
        <f t="shared" si="9"/>
        <v>1</v>
      </c>
      <c r="K593">
        <v>3</v>
      </c>
    </row>
    <row r="594" spans="1:11" x14ac:dyDescent="0.25">
      <c r="A594">
        <v>1702920</v>
      </c>
      <c r="B594">
        <v>176</v>
      </c>
      <c r="C594" t="s">
        <v>28</v>
      </c>
      <c r="D594" s="1">
        <v>42456.65347222222</v>
      </c>
      <c r="E594" t="s">
        <v>104</v>
      </c>
      <c r="F594" t="s">
        <v>184</v>
      </c>
      <c r="G594">
        <v>-122.3613</v>
      </c>
      <c r="H594">
        <v>47.53604</v>
      </c>
      <c r="I594" t="s">
        <v>657</v>
      </c>
      <c r="J594">
        <f t="shared" si="9"/>
        <v>1</v>
      </c>
      <c r="K594">
        <v>2</v>
      </c>
    </row>
    <row r="595" spans="1:11" x14ac:dyDescent="0.25">
      <c r="A595">
        <v>1702921</v>
      </c>
      <c r="B595">
        <v>220</v>
      </c>
      <c r="C595" t="s">
        <v>173</v>
      </c>
      <c r="D595" s="1">
        <v>42456.65347222222</v>
      </c>
      <c r="E595" t="s">
        <v>11</v>
      </c>
      <c r="F595" t="s">
        <v>245</v>
      </c>
      <c r="G595">
        <v>-122.31468</v>
      </c>
      <c r="H595">
        <v>47.585039999999999</v>
      </c>
      <c r="I595" t="s">
        <v>658</v>
      </c>
      <c r="J595">
        <f t="shared" si="9"/>
        <v>1</v>
      </c>
      <c r="K595">
        <v>2</v>
      </c>
    </row>
    <row r="596" spans="1:11" x14ac:dyDescent="0.25">
      <c r="A596">
        <v>1702922</v>
      </c>
      <c r="B596">
        <v>177</v>
      </c>
      <c r="C596" t="s">
        <v>61</v>
      </c>
      <c r="D596" s="1">
        <v>42456.668055555558</v>
      </c>
      <c r="E596" t="s">
        <v>67</v>
      </c>
      <c r="F596" t="s">
        <v>100</v>
      </c>
      <c r="G596">
        <v>-122.34363999999999</v>
      </c>
      <c r="H596">
        <v>47.610317000000002</v>
      </c>
      <c r="I596" t="s">
        <v>659</v>
      </c>
      <c r="J596">
        <f t="shared" si="9"/>
        <v>1</v>
      </c>
      <c r="K596">
        <v>4</v>
      </c>
    </row>
    <row r="597" spans="1:11" x14ac:dyDescent="0.25">
      <c r="A597">
        <v>1702923</v>
      </c>
      <c r="B597">
        <v>465</v>
      </c>
      <c r="C597" t="s">
        <v>645</v>
      </c>
      <c r="D597" s="1">
        <v>42456.664583333331</v>
      </c>
      <c r="E597" t="s">
        <v>71</v>
      </c>
      <c r="F597" t="s">
        <v>72</v>
      </c>
      <c r="G597">
        <v>-122.28924600000001</v>
      </c>
      <c r="H597">
        <v>47.567946999999997</v>
      </c>
      <c r="I597" t="s">
        <v>660</v>
      </c>
      <c r="J597">
        <f t="shared" si="9"/>
        <v>1</v>
      </c>
      <c r="K597">
        <v>1</v>
      </c>
    </row>
    <row r="598" spans="1:11" x14ac:dyDescent="0.25">
      <c r="A598">
        <v>1702924</v>
      </c>
      <c r="B598">
        <v>281</v>
      </c>
      <c r="C598" t="s">
        <v>26</v>
      </c>
      <c r="D598" s="1">
        <v>42456.664583333331</v>
      </c>
      <c r="E598" t="s">
        <v>29</v>
      </c>
      <c r="F598" t="s">
        <v>55</v>
      </c>
      <c r="G598">
        <v>-122.27767</v>
      </c>
      <c r="H598">
        <v>47.533382000000003</v>
      </c>
      <c r="I598" t="s">
        <v>661</v>
      </c>
      <c r="J598">
        <f t="shared" si="9"/>
        <v>1</v>
      </c>
      <c r="K598">
        <v>1</v>
      </c>
    </row>
    <row r="599" spans="1:11" x14ac:dyDescent="0.25">
      <c r="A599">
        <v>1702925</v>
      </c>
      <c r="B599">
        <v>244</v>
      </c>
      <c r="C599" t="s">
        <v>286</v>
      </c>
      <c r="D599" s="1">
        <v>42456.665972222225</v>
      </c>
      <c r="E599" t="s">
        <v>130</v>
      </c>
      <c r="F599" t="s">
        <v>272</v>
      </c>
      <c r="G599">
        <v>-122.30185</v>
      </c>
      <c r="H599">
        <v>47.718409999999999</v>
      </c>
      <c r="I599" t="s">
        <v>662</v>
      </c>
      <c r="J599">
        <f t="shared" si="9"/>
        <v>1</v>
      </c>
      <c r="K599">
        <v>0</v>
      </c>
    </row>
    <row r="600" spans="1:11" x14ac:dyDescent="0.25">
      <c r="A600">
        <v>1702926</v>
      </c>
      <c r="B600">
        <v>371</v>
      </c>
      <c r="C600" t="s">
        <v>663</v>
      </c>
      <c r="D600" s="1">
        <v>42456.663888888892</v>
      </c>
      <c r="E600" t="s">
        <v>71</v>
      </c>
      <c r="F600" t="s">
        <v>72</v>
      </c>
      <c r="G600">
        <v>-122.315315</v>
      </c>
      <c r="H600">
        <v>47.598334999999999</v>
      </c>
      <c r="I600" t="s">
        <v>664</v>
      </c>
      <c r="J600">
        <f t="shared" si="9"/>
        <v>1</v>
      </c>
      <c r="K600">
        <v>0</v>
      </c>
    </row>
    <row r="601" spans="1:11" x14ac:dyDescent="0.25">
      <c r="A601">
        <v>1702927</v>
      </c>
      <c r="B601">
        <v>470</v>
      </c>
      <c r="C601" t="s">
        <v>14</v>
      </c>
      <c r="D601" s="1">
        <v>42456.660416666666</v>
      </c>
      <c r="E601" t="s">
        <v>23</v>
      </c>
      <c r="F601" t="s">
        <v>189</v>
      </c>
      <c r="G601">
        <v>-122.36494</v>
      </c>
      <c r="H601">
        <v>47.628230000000002</v>
      </c>
      <c r="I601" t="s">
        <v>665</v>
      </c>
      <c r="J601">
        <f t="shared" si="9"/>
        <v>1</v>
      </c>
      <c r="K601">
        <v>1</v>
      </c>
    </row>
    <row r="602" spans="1:11" x14ac:dyDescent="0.25">
      <c r="A602">
        <v>1702928</v>
      </c>
      <c r="B602">
        <v>220</v>
      </c>
      <c r="C602" t="s">
        <v>173</v>
      </c>
      <c r="D602" s="1">
        <v>42456.664583333331</v>
      </c>
      <c r="E602" t="s">
        <v>64</v>
      </c>
      <c r="F602" t="s">
        <v>215</v>
      </c>
      <c r="G602">
        <v>-122.370766</v>
      </c>
      <c r="H602">
        <v>47.568424</v>
      </c>
      <c r="I602" t="s">
        <v>666</v>
      </c>
      <c r="J602">
        <f t="shared" si="9"/>
        <v>1</v>
      </c>
      <c r="K602">
        <v>2</v>
      </c>
    </row>
    <row r="603" spans="1:11" x14ac:dyDescent="0.25">
      <c r="A603">
        <v>1702929</v>
      </c>
      <c r="B603">
        <v>430</v>
      </c>
      <c r="C603" t="s">
        <v>70</v>
      </c>
      <c r="D603" s="1">
        <v>42456.665277777778</v>
      </c>
      <c r="E603" t="s">
        <v>29</v>
      </c>
      <c r="F603" t="s">
        <v>156</v>
      </c>
      <c r="G603">
        <v>-122.281296</v>
      </c>
      <c r="H603">
        <v>47.537039999999998</v>
      </c>
      <c r="I603" t="s">
        <v>667</v>
      </c>
      <c r="J603">
        <f t="shared" si="9"/>
        <v>1</v>
      </c>
      <c r="K603">
        <v>1</v>
      </c>
    </row>
    <row r="604" spans="1:11" x14ac:dyDescent="0.25">
      <c r="A604">
        <v>1702930</v>
      </c>
      <c r="B604">
        <v>100</v>
      </c>
      <c r="C604" t="s">
        <v>122</v>
      </c>
      <c r="D604" s="1">
        <v>42456.665972222225</v>
      </c>
      <c r="E604" t="s">
        <v>71</v>
      </c>
      <c r="F604" t="s">
        <v>72</v>
      </c>
      <c r="G604">
        <v>-122.32749</v>
      </c>
      <c r="H604">
        <v>47.716790000000003</v>
      </c>
      <c r="I604" t="s">
        <v>668</v>
      </c>
      <c r="J604">
        <f t="shared" si="9"/>
        <v>1</v>
      </c>
      <c r="K604">
        <v>2</v>
      </c>
    </row>
    <row r="605" spans="1:11" x14ac:dyDescent="0.25">
      <c r="A605">
        <v>1702931</v>
      </c>
      <c r="B605">
        <v>177</v>
      </c>
      <c r="C605" t="s">
        <v>61</v>
      </c>
      <c r="D605" s="1">
        <v>42456.672222222223</v>
      </c>
      <c r="E605" t="s">
        <v>15</v>
      </c>
      <c r="F605" t="s">
        <v>92</v>
      </c>
      <c r="G605">
        <v>-122.31722000000001</v>
      </c>
      <c r="H605">
        <v>47.599186000000003</v>
      </c>
      <c r="I605" t="s">
        <v>148</v>
      </c>
      <c r="J605">
        <f t="shared" si="9"/>
        <v>3</v>
      </c>
      <c r="K605">
        <v>1</v>
      </c>
    </row>
    <row r="606" spans="1:11" x14ac:dyDescent="0.25">
      <c r="A606">
        <v>1702932</v>
      </c>
      <c r="B606">
        <v>170</v>
      </c>
      <c r="C606" t="s">
        <v>669</v>
      </c>
      <c r="D606" s="1">
        <v>42456.676388888889</v>
      </c>
      <c r="E606" t="s">
        <v>67</v>
      </c>
      <c r="F606" t="s">
        <v>193</v>
      </c>
      <c r="G606">
        <v>-122.33557999999999</v>
      </c>
      <c r="H606">
        <v>47.610675999999998</v>
      </c>
      <c r="I606" t="s">
        <v>194</v>
      </c>
      <c r="J606">
        <f t="shared" si="9"/>
        <v>4</v>
      </c>
      <c r="K606">
        <v>4</v>
      </c>
    </row>
    <row r="607" spans="1:11" x14ac:dyDescent="0.25">
      <c r="A607">
        <v>1702933</v>
      </c>
      <c r="B607">
        <v>244</v>
      </c>
      <c r="C607" t="s">
        <v>286</v>
      </c>
      <c r="D607" s="1">
        <v>42456.677083333336</v>
      </c>
      <c r="E607" t="s">
        <v>78</v>
      </c>
      <c r="F607" t="s">
        <v>85</v>
      </c>
      <c r="G607">
        <v>-122.33842</v>
      </c>
      <c r="H607">
        <v>47.662129999999998</v>
      </c>
      <c r="I607" t="s">
        <v>670</v>
      </c>
      <c r="J607">
        <f t="shared" si="9"/>
        <v>1</v>
      </c>
      <c r="K607">
        <v>4</v>
      </c>
    </row>
    <row r="608" spans="1:11" x14ac:dyDescent="0.25">
      <c r="A608">
        <v>1702934</v>
      </c>
      <c r="B608">
        <v>245</v>
      </c>
      <c r="C608" t="s">
        <v>32</v>
      </c>
      <c r="D608" s="1">
        <v>42456.668055555558</v>
      </c>
      <c r="E608" t="s">
        <v>67</v>
      </c>
      <c r="F608" t="s">
        <v>193</v>
      </c>
      <c r="G608">
        <v>-122.33557999999999</v>
      </c>
      <c r="H608">
        <v>47.610675999999998</v>
      </c>
      <c r="I608" t="s">
        <v>194</v>
      </c>
      <c r="J608">
        <f t="shared" si="9"/>
        <v>4</v>
      </c>
      <c r="K608">
        <v>1</v>
      </c>
    </row>
    <row r="609" spans="1:11" x14ac:dyDescent="0.25">
      <c r="A609">
        <v>1702935</v>
      </c>
      <c r="B609">
        <v>280</v>
      </c>
      <c r="C609" t="s">
        <v>22</v>
      </c>
      <c r="D609" s="1">
        <v>42456.673611111109</v>
      </c>
      <c r="E609" t="s">
        <v>145</v>
      </c>
      <c r="F609" t="s">
        <v>305</v>
      </c>
      <c r="G609">
        <v>-122.34483</v>
      </c>
      <c r="H609">
        <v>47.713546999999998</v>
      </c>
      <c r="I609" t="s">
        <v>671</v>
      </c>
      <c r="J609">
        <f t="shared" si="9"/>
        <v>1</v>
      </c>
      <c r="K609">
        <v>4</v>
      </c>
    </row>
    <row r="610" spans="1:11" x14ac:dyDescent="0.25">
      <c r="A610">
        <v>1702936</v>
      </c>
      <c r="B610">
        <v>430</v>
      </c>
      <c r="C610" t="s">
        <v>70</v>
      </c>
      <c r="D610" s="1">
        <v>42456.666666666664</v>
      </c>
      <c r="E610" t="s">
        <v>15</v>
      </c>
      <c r="F610" t="s">
        <v>16</v>
      </c>
      <c r="G610">
        <v>-122.29263</v>
      </c>
      <c r="H610">
        <v>47.605170000000001</v>
      </c>
      <c r="I610" t="s">
        <v>672</v>
      </c>
      <c r="J610">
        <f t="shared" si="9"/>
        <v>1</v>
      </c>
      <c r="K610">
        <v>1</v>
      </c>
    </row>
    <row r="611" spans="1:11" x14ac:dyDescent="0.25">
      <c r="A611">
        <v>1702937</v>
      </c>
      <c r="B611">
        <v>372</v>
      </c>
      <c r="C611" t="s">
        <v>84</v>
      </c>
      <c r="D611" s="1">
        <v>42456.668055555558</v>
      </c>
      <c r="E611" t="s">
        <v>71</v>
      </c>
      <c r="F611" t="s">
        <v>126</v>
      </c>
      <c r="G611">
        <v>-122.35545999999999</v>
      </c>
      <c r="H611">
        <v>47.70599</v>
      </c>
      <c r="I611" t="s">
        <v>377</v>
      </c>
      <c r="J611">
        <f t="shared" si="9"/>
        <v>3</v>
      </c>
      <c r="K611">
        <v>1</v>
      </c>
    </row>
    <row r="612" spans="1:11" x14ac:dyDescent="0.25">
      <c r="A612">
        <v>1702938</v>
      </c>
      <c r="B612">
        <v>63</v>
      </c>
      <c r="C612" t="s">
        <v>87</v>
      </c>
      <c r="D612" s="1">
        <v>42456.681944444441</v>
      </c>
      <c r="E612" t="s">
        <v>81</v>
      </c>
      <c r="F612" t="s">
        <v>135</v>
      </c>
      <c r="G612">
        <v>-122.351006</v>
      </c>
      <c r="H612">
        <v>47.61486</v>
      </c>
      <c r="I612" t="s">
        <v>673</v>
      </c>
      <c r="J612">
        <f t="shared" si="9"/>
        <v>1</v>
      </c>
      <c r="K612">
        <v>4</v>
      </c>
    </row>
    <row r="613" spans="1:11" x14ac:dyDescent="0.25">
      <c r="A613">
        <v>1702939</v>
      </c>
      <c r="B613">
        <v>64</v>
      </c>
      <c r="C613" t="s">
        <v>158</v>
      </c>
      <c r="D613" s="1">
        <v>42456.676388888889</v>
      </c>
      <c r="E613" t="s">
        <v>15</v>
      </c>
      <c r="F613" t="s">
        <v>390</v>
      </c>
      <c r="G613">
        <v>-122.31344</v>
      </c>
      <c r="H613">
        <v>47.596653000000003</v>
      </c>
      <c r="I613" t="s">
        <v>391</v>
      </c>
      <c r="J613">
        <f t="shared" si="9"/>
        <v>4</v>
      </c>
      <c r="K613">
        <v>4</v>
      </c>
    </row>
    <row r="614" spans="1:11" x14ac:dyDescent="0.25">
      <c r="A614">
        <v>1702940</v>
      </c>
      <c r="B614">
        <v>188</v>
      </c>
      <c r="C614" t="s">
        <v>568</v>
      </c>
      <c r="D614" s="1">
        <v>42456.677777777775</v>
      </c>
      <c r="E614" t="s">
        <v>67</v>
      </c>
      <c r="F614" t="s">
        <v>100</v>
      </c>
      <c r="G614">
        <v>-122.34287999999999</v>
      </c>
      <c r="H614">
        <v>47.609814</v>
      </c>
      <c r="I614" t="s">
        <v>236</v>
      </c>
      <c r="J614">
        <f t="shared" si="9"/>
        <v>10</v>
      </c>
      <c r="K614">
        <v>4</v>
      </c>
    </row>
    <row r="615" spans="1:11" x14ac:dyDescent="0.25">
      <c r="A615">
        <v>1702941</v>
      </c>
      <c r="B615">
        <v>415</v>
      </c>
      <c r="C615" t="s">
        <v>228</v>
      </c>
      <c r="D615" s="1">
        <v>42456.676388888889</v>
      </c>
      <c r="E615" t="s">
        <v>11</v>
      </c>
      <c r="F615" t="s">
        <v>12</v>
      </c>
      <c r="G615">
        <v>-122.26904</v>
      </c>
      <c r="H615">
        <v>47.553345</v>
      </c>
      <c r="I615" t="s">
        <v>674</v>
      </c>
      <c r="J615">
        <f t="shared" si="9"/>
        <v>1</v>
      </c>
      <c r="K615">
        <v>3</v>
      </c>
    </row>
    <row r="616" spans="1:11" x14ac:dyDescent="0.25">
      <c r="A616">
        <v>1702942</v>
      </c>
      <c r="B616">
        <v>40</v>
      </c>
      <c r="C616" t="s">
        <v>119</v>
      </c>
      <c r="D616" s="1">
        <v>42456.676388888889</v>
      </c>
      <c r="E616" t="s">
        <v>11</v>
      </c>
      <c r="F616" t="s">
        <v>12</v>
      </c>
      <c r="G616">
        <v>-122.27786999999999</v>
      </c>
      <c r="H616">
        <v>47.551549999999999</v>
      </c>
      <c r="I616" t="s">
        <v>675</v>
      </c>
      <c r="J616">
        <f t="shared" si="9"/>
        <v>1</v>
      </c>
      <c r="K616">
        <v>2</v>
      </c>
    </row>
    <row r="617" spans="1:11" x14ac:dyDescent="0.25">
      <c r="A617">
        <v>1702943</v>
      </c>
      <c r="B617">
        <v>280</v>
      </c>
      <c r="C617" t="s">
        <v>22</v>
      </c>
      <c r="D617" s="1">
        <v>42456.677777777775</v>
      </c>
      <c r="E617" t="s">
        <v>104</v>
      </c>
      <c r="F617" t="s">
        <v>105</v>
      </c>
      <c r="G617">
        <v>-122.32163</v>
      </c>
      <c r="H617">
        <v>47.524760000000001</v>
      </c>
      <c r="I617" t="s">
        <v>676</v>
      </c>
      <c r="J617">
        <f t="shared" si="9"/>
        <v>1</v>
      </c>
      <c r="K617">
        <v>0</v>
      </c>
    </row>
    <row r="618" spans="1:11" x14ac:dyDescent="0.25">
      <c r="A618">
        <v>1702944</v>
      </c>
      <c r="B618">
        <v>282</v>
      </c>
      <c r="C618" t="s">
        <v>486</v>
      </c>
      <c r="D618" s="1">
        <v>42456.681944444441</v>
      </c>
      <c r="E618" t="s">
        <v>71</v>
      </c>
      <c r="F618" t="s">
        <v>126</v>
      </c>
      <c r="G618">
        <v>-122.344894</v>
      </c>
      <c r="H618">
        <v>47.717174999999997</v>
      </c>
      <c r="I618" t="s">
        <v>613</v>
      </c>
      <c r="J618">
        <f t="shared" si="9"/>
        <v>3</v>
      </c>
      <c r="K618">
        <v>2</v>
      </c>
    </row>
    <row r="619" spans="1:11" x14ac:dyDescent="0.25">
      <c r="A619">
        <v>1702945</v>
      </c>
      <c r="B619">
        <v>53</v>
      </c>
      <c r="C619" t="s">
        <v>153</v>
      </c>
      <c r="D619" s="1">
        <v>42456.673611111109</v>
      </c>
      <c r="E619" t="s">
        <v>64</v>
      </c>
      <c r="F619" t="s">
        <v>65</v>
      </c>
      <c r="G619">
        <v>-122.39113999999999</v>
      </c>
      <c r="H619">
        <v>47.556984</v>
      </c>
      <c r="I619" t="s">
        <v>677</v>
      </c>
      <c r="J619">
        <f t="shared" si="9"/>
        <v>1</v>
      </c>
      <c r="K619">
        <v>3</v>
      </c>
    </row>
    <row r="620" spans="1:11" x14ac:dyDescent="0.25">
      <c r="A620">
        <v>1702946</v>
      </c>
      <c r="B620">
        <v>220</v>
      </c>
      <c r="C620" t="s">
        <v>173</v>
      </c>
      <c r="D620" s="1">
        <v>42456.68472222222</v>
      </c>
      <c r="E620" t="s">
        <v>67</v>
      </c>
      <c r="F620" t="s">
        <v>193</v>
      </c>
      <c r="G620">
        <v>-122.33557999999999</v>
      </c>
      <c r="H620">
        <v>47.610675999999998</v>
      </c>
      <c r="I620" t="s">
        <v>194</v>
      </c>
      <c r="J620">
        <f t="shared" si="9"/>
        <v>4</v>
      </c>
      <c r="K620">
        <v>1</v>
      </c>
    </row>
    <row r="621" spans="1:11" x14ac:dyDescent="0.25">
      <c r="A621">
        <v>1702947</v>
      </c>
      <c r="B621">
        <v>430</v>
      </c>
      <c r="C621" t="s">
        <v>70</v>
      </c>
      <c r="D621" s="1">
        <v>42456.681944444441</v>
      </c>
      <c r="E621" t="s">
        <v>71</v>
      </c>
      <c r="F621" t="s">
        <v>110</v>
      </c>
      <c r="G621">
        <v>-122.34779</v>
      </c>
      <c r="H621">
        <v>47.733223000000002</v>
      </c>
      <c r="I621" t="s">
        <v>678</v>
      </c>
      <c r="J621">
        <f t="shared" si="9"/>
        <v>1</v>
      </c>
      <c r="K621">
        <v>2</v>
      </c>
    </row>
    <row r="622" spans="1:11" x14ac:dyDescent="0.25">
      <c r="A622">
        <v>1702948</v>
      </c>
      <c r="B622">
        <v>65</v>
      </c>
      <c r="C622" t="s">
        <v>39</v>
      </c>
      <c r="D622" s="1">
        <v>42456.688888888886</v>
      </c>
      <c r="E622" t="s">
        <v>71</v>
      </c>
      <c r="F622" t="s">
        <v>72</v>
      </c>
      <c r="G622">
        <v>-122.31786</v>
      </c>
      <c r="H622">
        <v>47.709389999999999</v>
      </c>
      <c r="I622" t="s">
        <v>358</v>
      </c>
      <c r="J622">
        <f t="shared" si="9"/>
        <v>4</v>
      </c>
      <c r="K622">
        <v>1</v>
      </c>
    </row>
    <row r="623" spans="1:11" x14ac:dyDescent="0.25">
      <c r="A623">
        <v>1702949</v>
      </c>
      <c r="B623">
        <v>280</v>
      </c>
      <c r="C623" t="s">
        <v>22</v>
      </c>
      <c r="D623" s="1">
        <v>42456.6875</v>
      </c>
      <c r="E623" t="s">
        <v>78</v>
      </c>
      <c r="F623" t="s">
        <v>79</v>
      </c>
      <c r="G623">
        <v>-122.37622</v>
      </c>
      <c r="H623">
        <v>47.665379999999999</v>
      </c>
      <c r="I623" t="s">
        <v>679</v>
      </c>
      <c r="J623">
        <f t="shared" si="9"/>
        <v>1</v>
      </c>
      <c r="K623">
        <v>2</v>
      </c>
    </row>
    <row r="624" spans="1:11" x14ac:dyDescent="0.25">
      <c r="A624">
        <v>1702950</v>
      </c>
      <c r="B624">
        <v>71</v>
      </c>
      <c r="C624" t="s">
        <v>142</v>
      </c>
      <c r="D624" s="1">
        <v>42456.691666666666</v>
      </c>
      <c r="E624" t="s">
        <v>23</v>
      </c>
      <c r="F624" t="s">
        <v>88</v>
      </c>
      <c r="G624">
        <v>-122.35082</v>
      </c>
      <c r="H624">
        <v>47.626292999999997</v>
      </c>
      <c r="I624" t="s">
        <v>680</v>
      </c>
      <c r="J624">
        <f t="shared" si="9"/>
        <v>1</v>
      </c>
      <c r="K624">
        <v>1</v>
      </c>
    </row>
    <row r="625" spans="1:11" x14ac:dyDescent="0.25">
      <c r="A625">
        <v>1702951</v>
      </c>
      <c r="B625">
        <v>63</v>
      </c>
      <c r="C625" t="s">
        <v>87</v>
      </c>
      <c r="D625" s="1">
        <v>42456.692361111112</v>
      </c>
      <c r="E625" t="s">
        <v>81</v>
      </c>
      <c r="F625" t="s">
        <v>82</v>
      </c>
      <c r="G625">
        <v>-122.3421</v>
      </c>
      <c r="H625">
        <v>47.637264000000002</v>
      </c>
      <c r="I625" t="s">
        <v>681</v>
      </c>
      <c r="J625">
        <f t="shared" si="9"/>
        <v>1</v>
      </c>
      <c r="K625">
        <v>4</v>
      </c>
    </row>
    <row r="626" spans="1:11" x14ac:dyDescent="0.25">
      <c r="A626">
        <v>1702952</v>
      </c>
      <c r="B626">
        <v>242</v>
      </c>
      <c r="C626" t="s">
        <v>10</v>
      </c>
      <c r="D626" s="1">
        <v>42456.700694444444</v>
      </c>
      <c r="E626" t="s">
        <v>67</v>
      </c>
      <c r="F626" t="s">
        <v>68</v>
      </c>
      <c r="G626">
        <v>-122.33732000000001</v>
      </c>
      <c r="H626">
        <v>47.611319999999999</v>
      </c>
      <c r="I626" t="s">
        <v>223</v>
      </c>
      <c r="J626">
        <f t="shared" si="9"/>
        <v>7</v>
      </c>
      <c r="K626">
        <v>4</v>
      </c>
    </row>
    <row r="627" spans="1:11" x14ac:dyDescent="0.25">
      <c r="A627">
        <v>1702953</v>
      </c>
      <c r="B627">
        <v>410</v>
      </c>
      <c r="C627" t="s">
        <v>140</v>
      </c>
      <c r="D627" s="1">
        <v>42456.701388888891</v>
      </c>
      <c r="E627" t="s">
        <v>23</v>
      </c>
      <c r="F627" t="s">
        <v>24</v>
      </c>
      <c r="G627">
        <v>-122.39829</v>
      </c>
      <c r="H627">
        <v>47.66386</v>
      </c>
      <c r="I627" t="s">
        <v>682</v>
      </c>
      <c r="J627">
        <f t="shared" si="9"/>
        <v>1</v>
      </c>
      <c r="K627">
        <v>0</v>
      </c>
    </row>
    <row r="628" spans="1:11" x14ac:dyDescent="0.25">
      <c r="A628">
        <v>1702954</v>
      </c>
      <c r="B628">
        <v>250</v>
      </c>
      <c r="C628" t="s">
        <v>59</v>
      </c>
      <c r="D628" s="1">
        <v>42456.703472222223</v>
      </c>
      <c r="E628" t="s">
        <v>64</v>
      </c>
      <c r="F628" t="s">
        <v>215</v>
      </c>
      <c r="G628">
        <v>-122.41903000000001</v>
      </c>
      <c r="H628">
        <v>47.575954000000003</v>
      </c>
      <c r="I628" t="s">
        <v>683</v>
      </c>
      <c r="J628">
        <f t="shared" si="9"/>
        <v>1</v>
      </c>
      <c r="K628">
        <v>3</v>
      </c>
    </row>
    <row r="629" spans="1:11" x14ac:dyDescent="0.25">
      <c r="A629">
        <v>1702955</v>
      </c>
      <c r="B629">
        <v>280</v>
      </c>
      <c r="C629" t="s">
        <v>22</v>
      </c>
      <c r="D629" s="1">
        <v>42456.70416666667</v>
      </c>
      <c r="E629" t="s">
        <v>104</v>
      </c>
      <c r="F629" t="s">
        <v>181</v>
      </c>
      <c r="G629">
        <v>-122.36454000000001</v>
      </c>
      <c r="H629">
        <v>47.521940000000001</v>
      </c>
      <c r="I629" t="s">
        <v>684</v>
      </c>
      <c r="J629">
        <f t="shared" si="9"/>
        <v>1</v>
      </c>
      <c r="K629">
        <v>2</v>
      </c>
    </row>
    <row r="630" spans="1:11" x14ac:dyDescent="0.25">
      <c r="A630">
        <v>1702956</v>
      </c>
      <c r="B630">
        <v>330</v>
      </c>
      <c r="C630" t="s">
        <v>547</v>
      </c>
      <c r="D630" s="1">
        <v>42456.706944444442</v>
      </c>
      <c r="E630" t="s">
        <v>40</v>
      </c>
      <c r="F630" t="s">
        <v>151</v>
      </c>
      <c r="G630">
        <v>-122.28873</v>
      </c>
      <c r="H630">
        <v>47.614047999999997</v>
      </c>
      <c r="I630" t="s">
        <v>685</v>
      </c>
      <c r="J630">
        <f t="shared" si="9"/>
        <v>1</v>
      </c>
      <c r="K630">
        <v>2</v>
      </c>
    </row>
    <row r="631" spans="1:11" x14ac:dyDescent="0.25">
      <c r="A631">
        <v>1702957</v>
      </c>
      <c r="B631">
        <v>64</v>
      </c>
      <c r="C631" t="s">
        <v>158</v>
      </c>
      <c r="D631" s="1">
        <v>42456.713194444441</v>
      </c>
      <c r="E631" t="s">
        <v>43</v>
      </c>
      <c r="F631" t="s">
        <v>44</v>
      </c>
      <c r="G631">
        <v>-122.32768</v>
      </c>
      <c r="H631">
        <v>47.596657</v>
      </c>
      <c r="I631" t="s">
        <v>556</v>
      </c>
      <c r="J631">
        <f t="shared" si="9"/>
        <v>3</v>
      </c>
      <c r="K631">
        <v>3</v>
      </c>
    </row>
    <row r="632" spans="1:11" x14ac:dyDescent="0.25">
      <c r="A632">
        <v>1702958</v>
      </c>
      <c r="B632">
        <v>410</v>
      </c>
      <c r="C632" t="s">
        <v>140</v>
      </c>
      <c r="D632" s="1">
        <v>42456.71597222222</v>
      </c>
      <c r="E632" t="s">
        <v>145</v>
      </c>
      <c r="F632" t="s">
        <v>305</v>
      </c>
      <c r="G632">
        <v>-122.34229999999999</v>
      </c>
      <c r="H632">
        <v>47.72551</v>
      </c>
      <c r="I632" t="s">
        <v>686</v>
      </c>
      <c r="J632">
        <f t="shared" si="9"/>
        <v>1</v>
      </c>
      <c r="K632">
        <v>0</v>
      </c>
    </row>
    <row r="633" spans="1:11" x14ac:dyDescent="0.25">
      <c r="A633">
        <v>1702959</v>
      </c>
      <c r="B633">
        <v>245</v>
      </c>
      <c r="C633" t="s">
        <v>32</v>
      </c>
      <c r="D633" s="1">
        <v>42456.71875</v>
      </c>
      <c r="E633" t="s">
        <v>104</v>
      </c>
      <c r="F633" t="s">
        <v>181</v>
      </c>
      <c r="G633">
        <v>-122.36731</v>
      </c>
      <c r="H633">
        <v>47.521026999999997</v>
      </c>
      <c r="I633" t="s">
        <v>687</v>
      </c>
      <c r="J633">
        <f t="shared" si="9"/>
        <v>1</v>
      </c>
      <c r="K633">
        <v>2</v>
      </c>
    </row>
    <row r="634" spans="1:11" x14ac:dyDescent="0.25">
      <c r="A634">
        <v>1702960</v>
      </c>
      <c r="B634">
        <v>243</v>
      </c>
      <c r="C634" t="s">
        <v>688</v>
      </c>
      <c r="D634" s="1">
        <v>42456.72152777778</v>
      </c>
      <c r="E634" t="s">
        <v>104</v>
      </c>
      <c r="F634" t="s">
        <v>105</v>
      </c>
      <c r="G634">
        <v>-122.326904</v>
      </c>
      <c r="H634">
        <v>47.525627</v>
      </c>
      <c r="I634" t="s">
        <v>689</v>
      </c>
      <c r="J634">
        <f t="shared" si="9"/>
        <v>1</v>
      </c>
      <c r="K634">
        <v>1</v>
      </c>
    </row>
    <row r="635" spans="1:11" x14ac:dyDescent="0.25">
      <c r="A635">
        <v>1702961</v>
      </c>
      <c r="B635">
        <v>176</v>
      </c>
      <c r="C635" t="s">
        <v>28</v>
      </c>
      <c r="D635" s="1">
        <v>42456.71875</v>
      </c>
      <c r="E635" t="s">
        <v>11</v>
      </c>
      <c r="F635" t="s">
        <v>33</v>
      </c>
      <c r="G635">
        <v>-122.289925</v>
      </c>
      <c r="H635">
        <v>47.568882000000002</v>
      </c>
      <c r="I635" t="s">
        <v>644</v>
      </c>
      <c r="J635">
        <f t="shared" si="9"/>
        <v>2</v>
      </c>
      <c r="K635">
        <v>2</v>
      </c>
    </row>
    <row r="636" spans="1:11" x14ac:dyDescent="0.25">
      <c r="A636">
        <v>1702962</v>
      </c>
      <c r="B636">
        <v>63</v>
      </c>
      <c r="C636" t="s">
        <v>87</v>
      </c>
      <c r="D636" s="1">
        <v>42456.718055555553</v>
      </c>
      <c r="E636" t="s">
        <v>71</v>
      </c>
      <c r="F636" t="s">
        <v>72</v>
      </c>
      <c r="G636">
        <v>-122.34022</v>
      </c>
      <c r="H636">
        <v>47.607365000000001</v>
      </c>
      <c r="I636" t="s">
        <v>357</v>
      </c>
      <c r="J636">
        <f t="shared" si="9"/>
        <v>3</v>
      </c>
      <c r="K636">
        <v>1</v>
      </c>
    </row>
    <row r="637" spans="1:11" x14ac:dyDescent="0.25">
      <c r="A637">
        <v>1702963</v>
      </c>
      <c r="B637">
        <v>63</v>
      </c>
      <c r="C637" t="s">
        <v>87</v>
      </c>
      <c r="D637" s="1">
        <v>42456.72152777778</v>
      </c>
      <c r="E637" t="s">
        <v>81</v>
      </c>
      <c r="F637" t="s">
        <v>154</v>
      </c>
      <c r="G637">
        <v>-122.332466</v>
      </c>
      <c r="H637">
        <v>47.627482999999998</v>
      </c>
      <c r="I637" t="s">
        <v>690</v>
      </c>
      <c r="J637">
        <f t="shared" si="9"/>
        <v>1</v>
      </c>
      <c r="K637">
        <v>3</v>
      </c>
    </row>
    <row r="638" spans="1:11" x14ac:dyDescent="0.25">
      <c r="A638">
        <v>1702964</v>
      </c>
      <c r="B638">
        <v>245</v>
      </c>
      <c r="C638" t="s">
        <v>32</v>
      </c>
      <c r="D638" s="1">
        <v>42456.729166666664</v>
      </c>
      <c r="E638" t="s">
        <v>67</v>
      </c>
      <c r="F638" t="s">
        <v>193</v>
      </c>
      <c r="G638">
        <v>-122.33602999999999</v>
      </c>
      <c r="H638">
        <v>47.611176</v>
      </c>
      <c r="I638" t="s">
        <v>691</v>
      </c>
      <c r="J638">
        <f t="shared" si="9"/>
        <v>2</v>
      </c>
      <c r="K638">
        <v>3</v>
      </c>
    </row>
    <row r="639" spans="1:11" x14ac:dyDescent="0.25">
      <c r="A639">
        <v>1702965</v>
      </c>
      <c r="B639">
        <v>280</v>
      </c>
      <c r="C639" t="s">
        <v>22</v>
      </c>
      <c r="D639" s="1">
        <v>42456.727777777778</v>
      </c>
      <c r="E639" t="s">
        <v>15</v>
      </c>
      <c r="F639" t="s">
        <v>16</v>
      </c>
      <c r="G639">
        <v>-122.30632</v>
      </c>
      <c r="H639">
        <v>47.608016999999997</v>
      </c>
      <c r="I639" t="s">
        <v>692</v>
      </c>
      <c r="J639">
        <f t="shared" si="9"/>
        <v>1</v>
      </c>
      <c r="K639">
        <v>1</v>
      </c>
    </row>
    <row r="640" spans="1:11" x14ac:dyDescent="0.25">
      <c r="A640">
        <v>1702966</v>
      </c>
      <c r="B640">
        <v>280</v>
      </c>
      <c r="C640" t="s">
        <v>22</v>
      </c>
      <c r="D640" s="1">
        <v>42456.728472222225</v>
      </c>
      <c r="E640" t="s">
        <v>145</v>
      </c>
      <c r="F640" t="s">
        <v>146</v>
      </c>
      <c r="G640">
        <v>-122.34295</v>
      </c>
      <c r="H640">
        <v>47.694175999999999</v>
      </c>
      <c r="I640" t="s">
        <v>693</v>
      </c>
      <c r="J640">
        <f t="shared" si="9"/>
        <v>1</v>
      </c>
      <c r="K640">
        <v>3</v>
      </c>
    </row>
    <row r="641" spans="1:11" x14ac:dyDescent="0.25">
      <c r="A641">
        <v>1702967</v>
      </c>
      <c r="B641">
        <v>280</v>
      </c>
      <c r="C641" t="s">
        <v>22</v>
      </c>
      <c r="D641" s="1">
        <v>42456.722916666666</v>
      </c>
      <c r="E641" t="s">
        <v>64</v>
      </c>
      <c r="F641" t="s">
        <v>215</v>
      </c>
      <c r="G641">
        <v>-122.38805000000001</v>
      </c>
      <c r="H641">
        <v>47.574738000000004</v>
      </c>
      <c r="I641" t="s">
        <v>694</v>
      </c>
      <c r="J641">
        <f t="shared" si="9"/>
        <v>2</v>
      </c>
      <c r="K641">
        <v>1</v>
      </c>
    </row>
    <row r="642" spans="1:11" x14ac:dyDescent="0.25">
      <c r="A642">
        <v>1702968</v>
      </c>
      <c r="B642">
        <v>101</v>
      </c>
      <c r="C642" t="s">
        <v>695</v>
      </c>
      <c r="D642" s="1">
        <v>42456.727777777778</v>
      </c>
      <c r="E642" t="s">
        <v>67</v>
      </c>
      <c r="F642" t="s">
        <v>68</v>
      </c>
      <c r="G642">
        <v>-122.33127</v>
      </c>
      <c r="H642">
        <v>47.612679999999997</v>
      </c>
      <c r="I642" t="s">
        <v>469</v>
      </c>
      <c r="J642">
        <f t="shared" ref="J642:J705" si="10">COUNTIF($I$2:$I$1046,I642)</f>
        <v>2</v>
      </c>
      <c r="K642">
        <v>3</v>
      </c>
    </row>
    <row r="643" spans="1:11" x14ac:dyDescent="0.25">
      <c r="A643">
        <v>1702970</v>
      </c>
      <c r="B643">
        <v>65</v>
      </c>
      <c r="C643" t="s">
        <v>39</v>
      </c>
      <c r="D643" s="1">
        <v>42456.722222222219</v>
      </c>
      <c r="E643" t="s">
        <v>23</v>
      </c>
      <c r="F643" t="s">
        <v>189</v>
      </c>
      <c r="G643">
        <v>-122.36409</v>
      </c>
      <c r="H643">
        <v>47.6524</v>
      </c>
      <c r="I643" t="s">
        <v>696</v>
      </c>
      <c r="J643">
        <f t="shared" si="10"/>
        <v>1</v>
      </c>
      <c r="K643">
        <v>2</v>
      </c>
    </row>
    <row r="644" spans="1:11" x14ac:dyDescent="0.25">
      <c r="A644">
        <v>1702971</v>
      </c>
      <c r="B644">
        <v>63</v>
      </c>
      <c r="C644" t="s">
        <v>87</v>
      </c>
      <c r="D644" s="1">
        <v>42456.728472222225</v>
      </c>
      <c r="E644" t="s">
        <v>23</v>
      </c>
      <c r="F644" t="s">
        <v>189</v>
      </c>
      <c r="G644">
        <v>-122.3749</v>
      </c>
      <c r="H644">
        <v>47.652169999999998</v>
      </c>
      <c r="I644" t="s">
        <v>697</v>
      </c>
      <c r="J644">
        <f t="shared" si="10"/>
        <v>1</v>
      </c>
      <c r="K644">
        <v>1</v>
      </c>
    </row>
    <row r="645" spans="1:11" x14ac:dyDescent="0.25">
      <c r="A645">
        <v>1702972</v>
      </c>
      <c r="B645">
        <v>350</v>
      </c>
      <c r="C645" t="s">
        <v>76</v>
      </c>
      <c r="D645" s="1">
        <v>42456.73541666667</v>
      </c>
      <c r="E645" t="s">
        <v>11</v>
      </c>
      <c r="F645" t="s">
        <v>12</v>
      </c>
      <c r="G645">
        <v>-122.28868</v>
      </c>
      <c r="H645">
        <v>47.565899999999999</v>
      </c>
      <c r="I645" t="s">
        <v>698</v>
      </c>
      <c r="J645">
        <f t="shared" si="10"/>
        <v>1</v>
      </c>
      <c r="K645">
        <v>2</v>
      </c>
    </row>
    <row r="646" spans="1:11" x14ac:dyDescent="0.25">
      <c r="A646">
        <v>1702973</v>
      </c>
      <c r="B646">
        <v>245</v>
      </c>
      <c r="C646" t="s">
        <v>32</v>
      </c>
      <c r="D646" s="1">
        <v>42456.73541666667</v>
      </c>
      <c r="E646" t="s">
        <v>47</v>
      </c>
      <c r="F646" t="s">
        <v>48</v>
      </c>
      <c r="G646">
        <v>-122.31685</v>
      </c>
      <c r="H646">
        <v>47.614685000000001</v>
      </c>
      <c r="I646" t="s">
        <v>343</v>
      </c>
      <c r="J646">
        <f t="shared" si="10"/>
        <v>3</v>
      </c>
      <c r="K646">
        <v>0</v>
      </c>
    </row>
    <row r="647" spans="1:11" x14ac:dyDescent="0.25">
      <c r="A647">
        <v>1702974</v>
      </c>
      <c r="B647">
        <v>161</v>
      </c>
      <c r="C647" t="s">
        <v>35</v>
      </c>
      <c r="D647" s="1">
        <v>42456.722916666666</v>
      </c>
      <c r="E647" t="s">
        <v>130</v>
      </c>
      <c r="F647" t="s">
        <v>272</v>
      </c>
      <c r="G647">
        <v>-122.31786</v>
      </c>
      <c r="H647">
        <v>47.709389999999999</v>
      </c>
      <c r="I647" t="s">
        <v>358</v>
      </c>
      <c r="J647">
        <f t="shared" si="10"/>
        <v>4</v>
      </c>
      <c r="K647">
        <v>2</v>
      </c>
    </row>
    <row r="648" spans="1:11" x14ac:dyDescent="0.25">
      <c r="A648">
        <v>1702975</v>
      </c>
      <c r="B648">
        <v>40</v>
      </c>
      <c r="C648" t="s">
        <v>119</v>
      </c>
      <c r="D648" s="1">
        <v>42456.73333333333</v>
      </c>
      <c r="E648" t="s">
        <v>15</v>
      </c>
      <c r="F648" t="s">
        <v>390</v>
      </c>
      <c r="G648">
        <v>-122.31026</v>
      </c>
      <c r="H648">
        <v>47.594214999999998</v>
      </c>
      <c r="I648" t="s">
        <v>392</v>
      </c>
      <c r="J648">
        <f t="shared" si="10"/>
        <v>2</v>
      </c>
      <c r="K648">
        <v>0</v>
      </c>
    </row>
    <row r="649" spans="1:11" x14ac:dyDescent="0.25">
      <c r="A649">
        <v>1702976</v>
      </c>
      <c r="B649">
        <v>63</v>
      </c>
      <c r="C649" t="s">
        <v>87</v>
      </c>
      <c r="D649" s="1">
        <v>42456.73541666667</v>
      </c>
      <c r="E649" t="s">
        <v>43</v>
      </c>
      <c r="F649" t="s">
        <v>102</v>
      </c>
      <c r="G649">
        <v>-122.338326</v>
      </c>
      <c r="H649">
        <v>47.6053</v>
      </c>
      <c r="I649" t="s">
        <v>699</v>
      </c>
      <c r="J649">
        <f t="shared" si="10"/>
        <v>1</v>
      </c>
      <c r="K649">
        <v>0</v>
      </c>
    </row>
    <row r="650" spans="1:11" x14ac:dyDescent="0.25">
      <c r="A650">
        <v>1702977</v>
      </c>
      <c r="B650">
        <v>184</v>
      </c>
      <c r="C650" t="s">
        <v>149</v>
      </c>
      <c r="D650" s="1">
        <v>42456.734027777777</v>
      </c>
      <c r="E650" t="s">
        <v>47</v>
      </c>
      <c r="F650" t="s">
        <v>90</v>
      </c>
      <c r="G650">
        <v>-122.32089999999999</v>
      </c>
      <c r="H650">
        <v>47.621532000000002</v>
      </c>
      <c r="I650" t="s">
        <v>700</v>
      </c>
      <c r="J650">
        <f t="shared" si="10"/>
        <v>1</v>
      </c>
      <c r="K650">
        <v>2</v>
      </c>
    </row>
    <row r="651" spans="1:11" x14ac:dyDescent="0.25">
      <c r="A651">
        <v>1702978</v>
      </c>
      <c r="B651">
        <v>245</v>
      </c>
      <c r="C651" t="s">
        <v>32</v>
      </c>
      <c r="D651" s="1">
        <v>42456.734722222223</v>
      </c>
      <c r="E651" t="s">
        <v>40</v>
      </c>
      <c r="F651" t="s">
        <v>41</v>
      </c>
      <c r="G651">
        <v>-122.32093999999999</v>
      </c>
      <c r="H651">
        <v>47.624659999999999</v>
      </c>
      <c r="I651" t="s">
        <v>701</v>
      </c>
      <c r="J651">
        <f t="shared" si="10"/>
        <v>1</v>
      </c>
      <c r="K651">
        <v>4</v>
      </c>
    </row>
    <row r="652" spans="1:11" x14ac:dyDescent="0.25">
      <c r="A652">
        <v>1702979</v>
      </c>
      <c r="B652">
        <v>161</v>
      </c>
      <c r="C652" t="s">
        <v>35</v>
      </c>
      <c r="D652" s="1">
        <v>42456.731944444444</v>
      </c>
      <c r="E652" t="s">
        <v>23</v>
      </c>
      <c r="F652" t="s">
        <v>88</v>
      </c>
      <c r="G652">
        <v>-122.35542</v>
      </c>
      <c r="H652">
        <v>47.622689999999999</v>
      </c>
      <c r="I652" t="s">
        <v>702</v>
      </c>
      <c r="J652">
        <f t="shared" si="10"/>
        <v>1</v>
      </c>
      <c r="K652">
        <v>3</v>
      </c>
    </row>
    <row r="653" spans="1:11" x14ac:dyDescent="0.25">
      <c r="A653">
        <v>1702980</v>
      </c>
      <c r="B653">
        <v>350</v>
      </c>
      <c r="C653" t="s">
        <v>76</v>
      </c>
      <c r="D653" s="1">
        <v>42456.743055555555</v>
      </c>
      <c r="E653" t="s">
        <v>11</v>
      </c>
      <c r="F653" t="s">
        <v>33</v>
      </c>
      <c r="G653">
        <v>-122.29783999999999</v>
      </c>
      <c r="H653">
        <v>47.577938000000003</v>
      </c>
      <c r="I653" t="s">
        <v>703</v>
      </c>
      <c r="J653">
        <f t="shared" si="10"/>
        <v>1</v>
      </c>
      <c r="K653">
        <v>3</v>
      </c>
    </row>
    <row r="654" spans="1:11" x14ac:dyDescent="0.25">
      <c r="A654">
        <v>1702981</v>
      </c>
      <c r="B654">
        <v>470</v>
      </c>
      <c r="C654" t="s">
        <v>14</v>
      </c>
      <c r="D654" s="1">
        <v>42456.742361111108</v>
      </c>
      <c r="E654" t="s">
        <v>71</v>
      </c>
      <c r="F654" t="s">
        <v>72</v>
      </c>
      <c r="G654">
        <v>-122.29384</v>
      </c>
      <c r="H654">
        <v>47.731952999999997</v>
      </c>
      <c r="I654" t="s">
        <v>704</v>
      </c>
      <c r="J654">
        <f t="shared" si="10"/>
        <v>1</v>
      </c>
      <c r="K654">
        <v>2</v>
      </c>
    </row>
    <row r="655" spans="1:11" x14ac:dyDescent="0.25">
      <c r="A655">
        <v>1702982</v>
      </c>
      <c r="B655">
        <v>280</v>
      </c>
      <c r="C655" t="s">
        <v>22</v>
      </c>
      <c r="D655" s="1">
        <v>42456.743055555555</v>
      </c>
      <c r="E655" t="s">
        <v>130</v>
      </c>
      <c r="F655" t="s">
        <v>272</v>
      </c>
      <c r="G655">
        <v>-122.29640999999999</v>
      </c>
      <c r="H655">
        <v>47.726509999999998</v>
      </c>
      <c r="I655" t="s">
        <v>705</v>
      </c>
      <c r="J655">
        <f t="shared" si="10"/>
        <v>1</v>
      </c>
      <c r="K655">
        <v>2</v>
      </c>
    </row>
    <row r="656" spans="1:11" x14ac:dyDescent="0.25">
      <c r="A656">
        <v>1702983</v>
      </c>
      <c r="B656">
        <v>177</v>
      </c>
      <c r="C656" t="s">
        <v>61</v>
      </c>
      <c r="D656" s="1">
        <v>42456.743055555555</v>
      </c>
      <c r="E656" t="s">
        <v>11</v>
      </c>
      <c r="F656" t="s">
        <v>33</v>
      </c>
      <c r="G656">
        <v>-122.30016999999999</v>
      </c>
      <c r="H656">
        <v>47.580993999999997</v>
      </c>
      <c r="I656" t="s">
        <v>706</v>
      </c>
      <c r="J656">
        <f t="shared" si="10"/>
        <v>1</v>
      </c>
      <c r="K656">
        <v>1</v>
      </c>
    </row>
    <row r="657" spans="1:11" x14ac:dyDescent="0.25">
      <c r="A657">
        <v>1702984</v>
      </c>
      <c r="B657">
        <v>460</v>
      </c>
      <c r="C657" t="s">
        <v>18</v>
      </c>
      <c r="D657" s="1">
        <v>42456.744444444441</v>
      </c>
      <c r="E657" t="s">
        <v>64</v>
      </c>
      <c r="F657" t="s">
        <v>65</v>
      </c>
      <c r="G657">
        <v>-122.37618999999999</v>
      </c>
      <c r="H657">
        <v>47.564075000000003</v>
      </c>
      <c r="I657" t="s">
        <v>707</v>
      </c>
      <c r="J657">
        <f t="shared" si="10"/>
        <v>1</v>
      </c>
      <c r="K657">
        <v>4</v>
      </c>
    </row>
    <row r="658" spans="1:11" x14ac:dyDescent="0.25">
      <c r="A658">
        <v>1702985</v>
      </c>
      <c r="B658">
        <v>430</v>
      </c>
      <c r="C658" t="s">
        <v>70</v>
      </c>
      <c r="D658" s="1">
        <v>42456.747916666667</v>
      </c>
      <c r="E658" t="s">
        <v>78</v>
      </c>
      <c r="F658" t="s">
        <v>113</v>
      </c>
      <c r="G658">
        <v>-122.37358999999999</v>
      </c>
      <c r="H658">
        <v>47.670169999999999</v>
      </c>
      <c r="I658" t="s">
        <v>708</v>
      </c>
      <c r="J658">
        <f t="shared" si="10"/>
        <v>1</v>
      </c>
      <c r="K658">
        <v>1</v>
      </c>
    </row>
    <row r="659" spans="1:11" x14ac:dyDescent="0.25">
      <c r="A659">
        <v>1702986</v>
      </c>
      <c r="B659">
        <v>372</v>
      </c>
      <c r="C659" t="s">
        <v>84</v>
      </c>
      <c r="D659" s="1">
        <v>42456.745833333334</v>
      </c>
      <c r="E659" t="s">
        <v>11</v>
      </c>
      <c r="F659" t="s">
        <v>33</v>
      </c>
      <c r="G659">
        <v>-122.2962</v>
      </c>
      <c r="H659">
        <v>47.577330000000003</v>
      </c>
      <c r="I659" t="s">
        <v>709</v>
      </c>
      <c r="J659">
        <f t="shared" si="10"/>
        <v>1</v>
      </c>
      <c r="K659">
        <v>3</v>
      </c>
    </row>
    <row r="660" spans="1:11" x14ac:dyDescent="0.25">
      <c r="A660">
        <v>1702987</v>
      </c>
      <c r="B660">
        <v>63</v>
      </c>
      <c r="C660" t="s">
        <v>87</v>
      </c>
      <c r="D660" s="1">
        <v>42456.743750000001</v>
      </c>
      <c r="E660" t="s">
        <v>40</v>
      </c>
      <c r="F660" t="s">
        <v>115</v>
      </c>
      <c r="G660">
        <v>-122.28265</v>
      </c>
      <c r="H660">
        <v>47.635185</v>
      </c>
      <c r="I660" t="s">
        <v>710</v>
      </c>
      <c r="J660">
        <f t="shared" si="10"/>
        <v>1</v>
      </c>
      <c r="K660">
        <v>1</v>
      </c>
    </row>
    <row r="661" spans="1:11" x14ac:dyDescent="0.25">
      <c r="A661">
        <v>1702988</v>
      </c>
      <c r="B661">
        <v>161</v>
      </c>
      <c r="C661" t="s">
        <v>35</v>
      </c>
      <c r="D661" s="1">
        <v>42456.748611111114</v>
      </c>
      <c r="E661" t="s">
        <v>78</v>
      </c>
      <c r="F661" t="s">
        <v>79</v>
      </c>
      <c r="G661">
        <v>-122.398315</v>
      </c>
      <c r="H661">
        <v>47.667538</v>
      </c>
      <c r="I661" t="s">
        <v>711</v>
      </c>
      <c r="J661">
        <f t="shared" si="10"/>
        <v>1</v>
      </c>
      <c r="K661">
        <v>3</v>
      </c>
    </row>
    <row r="662" spans="1:11" x14ac:dyDescent="0.25">
      <c r="A662">
        <v>1702989</v>
      </c>
      <c r="B662">
        <v>63</v>
      </c>
      <c r="C662" t="s">
        <v>87</v>
      </c>
      <c r="D662" s="1">
        <v>42456.747916666667</v>
      </c>
      <c r="E662" t="s">
        <v>81</v>
      </c>
      <c r="F662" t="s">
        <v>135</v>
      </c>
      <c r="G662">
        <v>-122.35002</v>
      </c>
      <c r="H662">
        <v>47.612186000000001</v>
      </c>
      <c r="I662" t="s">
        <v>712</v>
      </c>
      <c r="J662">
        <f t="shared" si="10"/>
        <v>1</v>
      </c>
      <c r="K662">
        <v>3</v>
      </c>
    </row>
    <row r="663" spans="1:11" x14ac:dyDescent="0.25">
      <c r="A663">
        <v>1702990</v>
      </c>
      <c r="B663">
        <v>161</v>
      </c>
      <c r="C663" t="s">
        <v>35</v>
      </c>
      <c r="D663" s="1">
        <v>42456.748611111114</v>
      </c>
      <c r="E663" t="s">
        <v>78</v>
      </c>
      <c r="F663" t="s">
        <v>79</v>
      </c>
      <c r="G663">
        <v>-122.376335</v>
      </c>
      <c r="H663">
        <v>47.662205</v>
      </c>
      <c r="I663" t="s">
        <v>261</v>
      </c>
      <c r="J663">
        <f t="shared" si="10"/>
        <v>3</v>
      </c>
      <c r="K663">
        <v>2</v>
      </c>
    </row>
    <row r="664" spans="1:11" x14ac:dyDescent="0.25">
      <c r="A664">
        <v>1702991</v>
      </c>
      <c r="B664">
        <v>177</v>
      </c>
      <c r="C664" t="s">
        <v>61</v>
      </c>
      <c r="D664" s="1">
        <v>42456.754861111112</v>
      </c>
      <c r="E664" t="s">
        <v>43</v>
      </c>
      <c r="F664" t="s">
        <v>218</v>
      </c>
      <c r="G664">
        <v>-122.331085</v>
      </c>
      <c r="H664">
        <v>47.602412999999999</v>
      </c>
      <c r="I664" t="s">
        <v>433</v>
      </c>
      <c r="J664">
        <f t="shared" si="10"/>
        <v>8</v>
      </c>
      <c r="K664">
        <v>3</v>
      </c>
    </row>
    <row r="665" spans="1:11" x14ac:dyDescent="0.25">
      <c r="A665">
        <v>1702992</v>
      </c>
      <c r="B665">
        <v>280</v>
      </c>
      <c r="C665" t="s">
        <v>22</v>
      </c>
      <c r="D665" s="1">
        <v>42456.75</v>
      </c>
      <c r="E665" t="s">
        <v>71</v>
      </c>
      <c r="F665" t="s">
        <v>126</v>
      </c>
      <c r="G665">
        <v>-122.31309</v>
      </c>
      <c r="H665">
        <v>47.663997999999999</v>
      </c>
      <c r="I665" t="s">
        <v>713</v>
      </c>
      <c r="J665">
        <f t="shared" si="10"/>
        <v>1</v>
      </c>
      <c r="K665">
        <v>3</v>
      </c>
    </row>
    <row r="666" spans="1:11" x14ac:dyDescent="0.25">
      <c r="A666">
        <v>1702993</v>
      </c>
      <c r="B666">
        <v>281</v>
      </c>
      <c r="C666" t="s">
        <v>26</v>
      </c>
      <c r="D666" s="1">
        <v>42456.759722222225</v>
      </c>
      <c r="E666" t="s">
        <v>64</v>
      </c>
      <c r="F666" t="s">
        <v>332</v>
      </c>
      <c r="G666">
        <v>-122.37801</v>
      </c>
      <c r="H666">
        <v>47.523772999999998</v>
      </c>
      <c r="I666" t="s">
        <v>714</v>
      </c>
      <c r="J666">
        <f t="shared" si="10"/>
        <v>1</v>
      </c>
      <c r="K666">
        <v>1</v>
      </c>
    </row>
    <row r="667" spans="1:11" x14ac:dyDescent="0.25">
      <c r="A667">
        <v>1702994</v>
      </c>
      <c r="B667">
        <v>52</v>
      </c>
      <c r="C667" t="s">
        <v>57</v>
      </c>
      <c r="D667" s="1">
        <v>42456.754166666666</v>
      </c>
      <c r="E667" t="s">
        <v>78</v>
      </c>
      <c r="F667" t="s">
        <v>85</v>
      </c>
      <c r="G667">
        <v>-122.34263</v>
      </c>
      <c r="H667">
        <v>47.651620000000001</v>
      </c>
      <c r="I667" t="s">
        <v>617</v>
      </c>
      <c r="J667">
        <f t="shared" si="10"/>
        <v>2</v>
      </c>
      <c r="K667">
        <v>1</v>
      </c>
    </row>
    <row r="668" spans="1:11" x14ac:dyDescent="0.25">
      <c r="A668">
        <v>1702995</v>
      </c>
      <c r="B668">
        <v>63</v>
      </c>
      <c r="C668" t="s">
        <v>87</v>
      </c>
      <c r="D668" s="1">
        <v>42456.754861111112</v>
      </c>
      <c r="E668" t="s">
        <v>67</v>
      </c>
      <c r="F668" t="s">
        <v>100</v>
      </c>
      <c r="G668">
        <v>-122.34327</v>
      </c>
      <c r="H668">
        <v>47.608207999999998</v>
      </c>
      <c r="I668" t="s">
        <v>715</v>
      </c>
      <c r="J668">
        <f t="shared" si="10"/>
        <v>1</v>
      </c>
      <c r="K668">
        <v>3</v>
      </c>
    </row>
    <row r="669" spans="1:11" x14ac:dyDescent="0.25">
      <c r="A669">
        <v>1702996</v>
      </c>
      <c r="B669">
        <v>63</v>
      </c>
      <c r="C669" t="s">
        <v>87</v>
      </c>
      <c r="D669" s="1">
        <v>42456.759722222225</v>
      </c>
      <c r="E669" t="s">
        <v>67</v>
      </c>
      <c r="F669" t="s">
        <v>193</v>
      </c>
      <c r="G669">
        <v>-122.33835000000001</v>
      </c>
      <c r="H669">
        <v>47.609515999999999</v>
      </c>
      <c r="I669" t="s">
        <v>366</v>
      </c>
      <c r="J669">
        <f t="shared" si="10"/>
        <v>8</v>
      </c>
      <c r="K669">
        <v>1</v>
      </c>
    </row>
    <row r="670" spans="1:11" x14ac:dyDescent="0.25">
      <c r="A670">
        <v>1702997</v>
      </c>
      <c r="B670">
        <v>65</v>
      </c>
      <c r="C670" t="s">
        <v>39</v>
      </c>
      <c r="D670" s="1">
        <v>42456.762499999997</v>
      </c>
      <c r="E670" t="s">
        <v>81</v>
      </c>
      <c r="F670" t="s">
        <v>82</v>
      </c>
      <c r="G670">
        <v>-122.33617</v>
      </c>
      <c r="H670">
        <v>47.616055000000003</v>
      </c>
      <c r="I670" t="s">
        <v>716</v>
      </c>
      <c r="J670">
        <f t="shared" si="10"/>
        <v>3</v>
      </c>
      <c r="K670">
        <v>3</v>
      </c>
    </row>
    <row r="671" spans="1:11" x14ac:dyDescent="0.25">
      <c r="A671">
        <v>1702998</v>
      </c>
      <c r="B671">
        <v>250</v>
      </c>
      <c r="C671" t="s">
        <v>59</v>
      </c>
      <c r="D671" s="1">
        <v>42456.763194444444</v>
      </c>
      <c r="E671" t="s">
        <v>95</v>
      </c>
      <c r="F671" t="s">
        <v>98</v>
      </c>
      <c r="G671">
        <v>-122.31312</v>
      </c>
      <c r="H671">
        <v>47.662179999999999</v>
      </c>
      <c r="I671" t="s">
        <v>329</v>
      </c>
      <c r="J671">
        <f t="shared" si="10"/>
        <v>3</v>
      </c>
      <c r="K671">
        <v>4</v>
      </c>
    </row>
    <row r="672" spans="1:11" x14ac:dyDescent="0.25">
      <c r="A672">
        <v>1703001</v>
      </c>
      <c r="B672">
        <v>177</v>
      </c>
      <c r="C672" t="s">
        <v>61</v>
      </c>
      <c r="D672" s="1">
        <v>42456.768055555556</v>
      </c>
      <c r="E672" t="s">
        <v>81</v>
      </c>
      <c r="F672" t="s">
        <v>154</v>
      </c>
      <c r="G672">
        <v>-122.33425</v>
      </c>
      <c r="H672">
        <v>47.617849999999997</v>
      </c>
      <c r="I672" t="s">
        <v>717</v>
      </c>
      <c r="J672">
        <f t="shared" si="10"/>
        <v>1</v>
      </c>
      <c r="K672">
        <v>4</v>
      </c>
    </row>
    <row r="673" spans="1:11" x14ac:dyDescent="0.25">
      <c r="A673">
        <v>1703002</v>
      </c>
      <c r="B673">
        <v>280</v>
      </c>
      <c r="C673" t="s">
        <v>22</v>
      </c>
      <c r="D673" s="1">
        <v>42456.765277777777</v>
      </c>
      <c r="E673" t="s">
        <v>145</v>
      </c>
      <c r="F673" t="s">
        <v>305</v>
      </c>
      <c r="G673">
        <v>-122.34777</v>
      </c>
      <c r="H673">
        <v>47.731678000000002</v>
      </c>
      <c r="I673" t="s">
        <v>111</v>
      </c>
      <c r="J673">
        <f t="shared" si="10"/>
        <v>2</v>
      </c>
      <c r="K673">
        <v>0</v>
      </c>
    </row>
    <row r="674" spans="1:11" x14ac:dyDescent="0.25">
      <c r="A674">
        <v>1703003</v>
      </c>
      <c r="B674">
        <v>50</v>
      </c>
      <c r="C674" t="s">
        <v>211</v>
      </c>
      <c r="D674" s="1">
        <v>42456.769444444442</v>
      </c>
      <c r="E674" t="s">
        <v>130</v>
      </c>
      <c r="F674" t="s">
        <v>272</v>
      </c>
      <c r="G674">
        <v>-122.30458</v>
      </c>
      <c r="H674">
        <v>47.723866000000001</v>
      </c>
      <c r="I674" t="s">
        <v>718</v>
      </c>
      <c r="J674">
        <f t="shared" si="10"/>
        <v>2</v>
      </c>
      <c r="K674">
        <v>4</v>
      </c>
    </row>
    <row r="675" spans="1:11" x14ac:dyDescent="0.25">
      <c r="A675">
        <v>1703004</v>
      </c>
      <c r="B675">
        <v>242</v>
      </c>
      <c r="C675" t="s">
        <v>10</v>
      </c>
      <c r="D675" s="1">
        <v>42456.78125</v>
      </c>
      <c r="E675" t="s">
        <v>43</v>
      </c>
      <c r="F675" t="s">
        <v>218</v>
      </c>
      <c r="G675">
        <v>-122.33157</v>
      </c>
      <c r="H675">
        <v>47.600879999999997</v>
      </c>
      <c r="I675" t="s">
        <v>719</v>
      </c>
      <c r="J675">
        <f t="shared" si="10"/>
        <v>1</v>
      </c>
      <c r="K675">
        <v>2</v>
      </c>
    </row>
    <row r="676" spans="1:11" x14ac:dyDescent="0.25">
      <c r="A676">
        <v>1703005</v>
      </c>
      <c r="B676">
        <v>372</v>
      </c>
      <c r="C676" t="s">
        <v>84</v>
      </c>
      <c r="D676" s="1">
        <v>42456.771527777775</v>
      </c>
      <c r="E676" t="s">
        <v>52</v>
      </c>
      <c r="F676" t="s">
        <v>53</v>
      </c>
      <c r="G676">
        <v>-122.32402</v>
      </c>
      <c r="H676">
        <v>47.681980000000003</v>
      </c>
      <c r="I676" t="s">
        <v>720</v>
      </c>
      <c r="J676">
        <f t="shared" si="10"/>
        <v>2</v>
      </c>
      <c r="K676">
        <v>2</v>
      </c>
    </row>
    <row r="677" spans="1:11" x14ac:dyDescent="0.25">
      <c r="A677">
        <v>1703006</v>
      </c>
      <c r="B677">
        <v>63</v>
      </c>
      <c r="C677" t="s">
        <v>87</v>
      </c>
      <c r="D677" s="1">
        <v>42456.770833333336</v>
      </c>
      <c r="E677" t="s">
        <v>23</v>
      </c>
      <c r="F677" t="s">
        <v>88</v>
      </c>
      <c r="G677">
        <v>-122.34886</v>
      </c>
      <c r="H677">
        <v>47.619743</v>
      </c>
      <c r="I677" t="s">
        <v>721</v>
      </c>
      <c r="J677">
        <f t="shared" si="10"/>
        <v>1</v>
      </c>
      <c r="K677">
        <v>3</v>
      </c>
    </row>
    <row r="678" spans="1:11" x14ac:dyDescent="0.25">
      <c r="A678">
        <v>1703007</v>
      </c>
      <c r="B678">
        <v>330</v>
      </c>
      <c r="C678" t="s">
        <v>547</v>
      </c>
      <c r="D678" s="1">
        <v>42456.773611111108</v>
      </c>
      <c r="E678" t="s">
        <v>145</v>
      </c>
      <c r="F678" t="s">
        <v>146</v>
      </c>
      <c r="G678">
        <v>-122.34453000000001</v>
      </c>
      <c r="H678">
        <v>47.690925999999997</v>
      </c>
      <c r="I678" t="s">
        <v>536</v>
      </c>
      <c r="J678">
        <f t="shared" si="10"/>
        <v>2</v>
      </c>
      <c r="K678">
        <v>2</v>
      </c>
    </row>
    <row r="679" spans="1:11" x14ac:dyDescent="0.25">
      <c r="A679">
        <v>1703008</v>
      </c>
      <c r="B679">
        <v>141</v>
      </c>
      <c r="C679" t="s">
        <v>316</v>
      </c>
      <c r="D679" s="1">
        <v>42456.783333333333</v>
      </c>
      <c r="E679" t="s">
        <v>11</v>
      </c>
      <c r="F679" t="s">
        <v>33</v>
      </c>
      <c r="G679">
        <v>-122.29916</v>
      </c>
      <c r="H679">
        <v>47.579673999999997</v>
      </c>
      <c r="I679" t="s">
        <v>34</v>
      </c>
      <c r="J679">
        <f t="shared" si="10"/>
        <v>4</v>
      </c>
      <c r="K679">
        <v>3</v>
      </c>
    </row>
    <row r="680" spans="1:11" x14ac:dyDescent="0.25">
      <c r="A680">
        <v>1703009</v>
      </c>
      <c r="B680">
        <v>245</v>
      </c>
      <c r="C680" t="s">
        <v>32</v>
      </c>
      <c r="D680" s="1">
        <v>42456.788194444445</v>
      </c>
      <c r="E680" t="s">
        <v>15</v>
      </c>
      <c r="F680" t="s">
        <v>92</v>
      </c>
      <c r="G680">
        <v>-122.320335</v>
      </c>
      <c r="H680">
        <v>47.599186000000003</v>
      </c>
      <c r="I680" t="s">
        <v>722</v>
      </c>
      <c r="J680">
        <f t="shared" si="10"/>
        <v>1</v>
      </c>
      <c r="K680">
        <v>3</v>
      </c>
    </row>
    <row r="681" spans="1:11" x14ac:dyDescent="0.25">
      <c r="A681">
        <v>1703010</v>
      </c>
      <c r="B681">
        <v>280</v>
      </c>
      <c r="C681" t="s">
        <v>22</v>
      </c>
      <c r="D681" s="1">
        <v>42456.786805555559</v>
      </c>
      <c r="E681" t="s">
        <v>71</v>
      </c>
      <c r="F681" t="s">
        <v>110</v>
      </c>
      <c r="G681">
        <v>-122.31964000000001</v>
      </c>
      <c r="H681">
        <v>47.599181999999999</v>
      </c>
      <c r="I681" t="s">
        <v>320</v>
      </c>
      <c r="J681">
        <f t="shared" si="10"/>
        <v>2</v>
      </c>
      <c r="K681">
        <v>0</v>
      </c>
    </row>
    <row r="682" spans="1:11" x14ac:dyDescent="0.25">
      <c r="A682">
        <v>1703011</v>
      </c>
      <c r="B682">
        <v>281</v>
      </c>
      <c r="C682" t="s">
        <v>26</v>
      </c>
      <c r="D682" s="1">
        <v>42456.787499999999</v>
      </c>
      <c r="E682" t="s">
        <v>23</v>
      </c>
      <c r="F682" t="s">
        <v>88</v>
      </c>
      <c r="G682">
        <v>-122.35988</v>
      </c>
      <c r="H682">
        <v>47.629584999999999</v>
      </c>
      <c r="I682" t="s">
        <v>723</v>
      </c>
      <c r="J682">
        <f t="shared" si="10"/>
        <v>1</v>
      </c>
      <c r="K682">
        <v>4</v>
      </c>
    </row>
    <row r="683" spans="1:11" x14ac:dyDescent="0.25">
      <c r="A683">
        <v>1703012</v>
      </c>
      <c r="B683">
        <v>282</v>
      </c>
      <c r="C683" t="s">
        <v>486</v>
      </c>
      <c r="D683" s="1">
        <v>42456.790277777778</v>
      </c>
      <c r="E683" t="s">
        <v>23</v>
      </c>
      <c r="F683" t="s">
        <v>88</v>
      </c>
      <c r="G683">
        <v>-122.34694</v>
      </c>
      <c r="H683">
        <v>47.622073999999998</v>
      </c>
      <c r="I683" t="s">
        <v>724</v>
      </c>
      <c r="J683">
        <f t="shared" si="10"/>
        <v>1</v>
      </c>
      <c r="K683">
        <v>3</v>
      </c>
    </row>
    <row r="684" spans="1:11" x14ac:dyDescent="0.25">
      <c r="A684">
        <v>1703013</v>
      </c>
      <c r="B684">
        <v>177</v>
      </c>
      <c r="C684" t="s">
        <v>61</v>
      </c>
      <c r="D684" s="1">
        <v>42456.793055555558</v>
      </c>
      <c r="E684" t="s">
        <v>71</v>
      </c>
      <c r="F684" t="s">
        <v>126</v>
      </c>
      <c r="G684">
        <v>-122.341545</v>
      </c>
      <c r="H684">
        <v>47.612780000000001</v>
      </c>
      <c r="I684" t="s">
        <v>725</v>
      </c>
      <c r="J684">
        <f t="shared" si="10"/>
        <v>3</v>
      </c>
      <c r="K684">
        <v>0</v>
      </c>
    </row>
    <row r="685" spans="1:11" x14ac:dyDescent="0.25">
      <c r="A685">
        <v>1703014</v>
      </c>
      <c r="B685">
        <v>430</v>
      </c>
      <c r="C685" t="s">
        <v>70</v>
      </c>
      <c r="D685" s="1">
        <v>42456.79791666667</v>
      </c>
      <c r="E685" t="s">
        <v>29</v>
      </c>
      <c r="F685" t="s">
        <v>156</v>
      </c>
      <c r="G685">
        <v>-122.293755</v>
      </c>
      <c r="H685">
        <v>47.538913999999998</v>
      </c>
      <c r="I685" t="s">
        <v>726</v>
      </c>
      <c r="J685">
        <f t="shared" si="10"/>
        <v>1</v>
      </c>
      <c r="K685">
        <v>3</v>
      </c>
    </row>
    <row r="686" spans="1:11" x14ac:dyDescent="0.25">
      <c r="A686">
        <v>1703015</v>
      </c>
      <c r="B686">
        <v>250</v>
      </c>
      <c r="C686" t="s">
        <v>59</v>
      </c>
      <c r="D686" s="1">
        <v>42456.791666666664</v>
      </c>
      <c r="E686" t="s">
        <v>78</v>
      </c>
      <c r="F686" t="s">
        <v>79</v>
      </c>
      <c r="G686">
        <v>-122.39973000000001</v>
      </c>
      <c r="H686">
        <v>47.668616999999998</v>
      </c>
      <c r="I686" t="s">
        <v>727</v>
      </c>
      <c r="J686">
        <f t="shared" si="10"/>
        <v>1</v>
      </c>
      <c r="K686">
        <v>1</v>
      </c>
    </row>
    <row r="687" spans="1:11" x14ac:dyDescent="0.25">
      <c r="A687">
        <v>1703016</v>
      </c>
      <c r="B687">
        <v>220</v>
      </c>
      <c r="C687" t="s">
        <v>173</v>
      </c>
      <c r="D687" s="1">
        <v>42456.795138888891</v>
      </c>
      <c r="E687" t="s">
        <v>71</v>
      </c>
      <c r="F687" t="s">
        <v>110</v>
      </c>
      <c r="G687">
        <v>-122.32546000000001</v>
      </c>
      <c r="H687">
        <v>47.612988000000001</v>
      </c>
      <c r="I687" t="s">
        <v>728</v>
      </c>
      <c r="J687">
        <f t="shared" si="10"/>
        <v>1</v>
      </c>
      <c r="K687">
        <v>1</v>
      </c>
    </row>
    <row r="688" spans="1:11" x14ac:dyDescent="0.25">
      <c r="A688">
        <v>1703017</v>
      </c>
      <c r="B688">
        <v>177</v>
      </c>
      <c r="C688" t="s">
        <v>61</v>
      </c>
      <c r="D688" s="1">
        <v>42456.803472222222</v>
      </c>
      <c r="E688" t="s">
        <v>67</v>
      </c>
      <c r="F688" t="s">
        <v>68</v>
      </c>
      <c r="G688">
        <v>-122.33537</v>
      </c>
      <c r="H688">
        <v>47.612136999999997</v>
      </c>
      <c r="I688" t="s">
        <v>729</v>
      </c>
      <c r="J688">
        <f t="shared" si="10"/>
        <v>1</v>
      </c>
      <c r="K688">
        <v>1</v>
      </c>
    </row>
    <row r="689" spans="1:11" x14ac:dyDescent="0.25">
      <c r="A689">
        <v>1703018</v>
      </c>
      <c r="B689">
        <v>63</v>
      </c>
      <c r="C689" t="s">
        <v>87</v>
      </c>
      <c r="D689" s="1">
        <v>42456.803472222222</v>
      </c>
      <c r="E689" t="s">
        <v>29</v>
      </c>
      <c r="F689" t="s">
        <v>30</v>
      </c>
      <c r="G689">
        <v>-122.264725</v>
      </c>
      <c r="H689">
        <v>47.512585000000001</v>
      </c>
      <c r="I689" t="s">
        <v>730</v>
      </c>
      <c r="J689">
        <f t="shared" si="10"/>
        <v>1</v>
      </c>
      <c r="K689">
        <v>1</v>
      </c>
    </row>
    <row r="690" spans="1:11" x14ac:dyDescent="0.25">
      <c r="A690">
        <v>1703019</v>
      </c>
      <c r="B690">
        <v>430</v>
      </c>
      <c r="C690" t="s">
        <v>70</v>
      </c>
      <c r="D690" s="1">
        <v>42456.800000000003</v>
      </c>
      <c r="E690" t="s">
        <v>23</v>
      </c>
      <c r="F690" t="s">
        <v>88</v>
      </c>
      <c r="G690">
        <v>-122.35671000000001</v>
      </c>
      <c r="H690">
        <v>47.623927999999999</v>
      </c>
      <c r="I690" t="s">
        <v>731</v>
      </c>
      <c r="J690">
        <f t="shared" si="10"/>
        <v>1</v>
      </c>
      <c r="K690">
        <v>1</v>
      </c>
    </row>
    <row r="691" spans="1:11" x14ac:dyDescent="0.25">
      <c r="A691">
        <v>1703020</v>
      </c>
      <c r="B691">
        <v>63</v>
      </c>
      <c r="C691" t="s">
        <v>87</v>
      </c>
      <c r="D691" s="1">
        <v>42456.798611111109</v>
      </c>
      <c r="E691" t="s">
        <v>43</v>
      </c>
      <c r="F691" t="s">
        <v>102</v>
      </c>
      <c r="G691">
        <v>-122.33735</v>
      </c>
      <c r="H691">
        <v>47.604230000000001</v>
      </c>
      <c r="I691" t="s">
        <v>732</v>
      </c>
      <c r="J691">
        <f t="shared" si="10"/>
        <v>1</v>
      </c>
      <c r="K691">
        <v>3</v>
      </c>
    </row>
    <row r="692" spans="1:11" x14ac:dyDescent="0.25">
      <c r="A692">
        <v>1703021</v>
      </c>
      <c r="B692">
        <v>221</v>
      </c>
      <c r="C692" t="s">
        <v>733</v>
      </c>
      <c r="D692" s="1">
        <v>42456.801388888889</v>
      </c>
      <c r="E692" t="s">
        <v>43</v>
      </c>
      <c r="F692" t="s">
        <v>218</v>
      </c>
      <c r="G692">
        <v>-122.331085</v>
      </c>
      <c r="H692">
        <v>47.602412999999999</v>
      </c>
      <c r="I692" t="s">
        <v>433</v>
      </c>
      <c r="J692">
        <f t="shared" si="10"/>
        <v>8</v>
      </c>
      <c r="K692">
        <v>2</v>
      </c>
    </row>
    <row r="693" spans="1:11" x14ac:dyDescent="0.25">
      <c r="A693">
        <v>1703022</v>
      </c>
      <c r="B693">
        <v>470</v>
      </c>
      <c r="C693" t="s">
        <v>14</v>
      </c>
      <c r="D693" s="1">
        <v>42456.803472222222</v>
      </c>
      <c r="E693" t="s">
        <v>71</v>
      </c>
      <c r="F693" t="s">
        <v>126</v>
      </c>
      <c r="G693">
        <v>-122.3411</v>
      </c>
      <c r="H693">
        <v>47.611347000000002</v>
      </c>
      <c r="I693" t="s">
        <v>470</v>
      </c>
      <c r="J693">
        <f t="shared" si="10"/>
        <v>2</v>
      </c>
      <c r="K693">
        <v>2</v>
      </c>
    </row>
    <row r="694" spans="1:11" x14ac:dyDescent="0.25">
      <c r="A694">
        <v>1703023</v>
      </c>
      <c r="B694">
        <v>281</v>
      </c>
      <c r="C694" t="s">
        <v>26</v>
      </c>
      <c r="D694" s="1">
        <v>42456.801388888889</v>
      </c>
      <c r="E694" t="s">
        <v>47</v>
      </c>
      <c r="F694" t="s">
        <v>90</v>
      </c>
      <c r="G694">
        <v>-122.32617999999999</v>
      </c>
      <c r="H694">
        <v>47.618492000000003</v>
      </c>
      <c r="I694" t="s">
        <v>734</v>
      </c>
      <c r="J694">
        <f t="shared" si="10"/>
        <v>1</v>
      </c>
      <c r="K694">
        <v>4</v>
      </c>
    </row>
    <row r="695" spans="1:11" x14ac:dyDescent="0.25">
      <c r="A695">
        <v>1703024</v>
      </c>
      <c r="B695">
        <v>242</v>
      </c>
      <c r="C695" t="s">
        <v>10</v>
      </c>
      <c r="D695" s="1">
        <v>42456.801388888889</v>
      </c>
      <c r="E695" t="s">
        <v>47</v>
      </c>
      <c r="F695" t="s">
        <v>177</v>
      </c>
      <c r="G695">
        <v>-122.324585</v>
      </c>
      <c r="H695">
        <v>47.609569999999998</v>
      </c>
      <c r="I695" t="s">
        <v>735</v>
      </c>
      <c r="J695">
        <f t="shared" si="10"/>
        <v>1</v>
      </c>
      <c r="K695">
        <v>2</v>
      </c>
    </row>
    <row r="696" spans="1:11" x14ac:dyDescent="0.25">
      <c r="A696">
        <v>1703025</v>
      </c>
      <c r="B696">
        <v>71</v>
      </c>
      <c r="C696" t="s">
        <v>142</v>
      </c>
      <c r="D696" s="1">
        <v>42456.152777777781</v>
      </c>
      <c r="E696" t="s">
        <v>78</v>
      </c>
      <c r="F696" t="s">
        <v>113</v>
      </c>
      <c r="G696">
        <v>-122.35448</v>
      </c>
      <c r="H696">
        <v>47.651409999999998</v>
      </c>
      <c r="I696" t="s">
        <v>736</v>
      </c>
      <c r="J696">
        <f t="shared" si="10"/>
        <v>1</v>
      </c>
      <c r="K696">
        <v>2</v>
      </c>
    </row>
    <row r="697" spans="1:11" x14ac:dyDescent="0.25">
      <c r="A697">
        <v>1703026</v>
      </c>
      <c r="B697">
        <v>280</v>
      </c>
      <c r="C697" t="s">
        <v>22</v>
      </c>
      <c r="D697" s="1">
        <v>42456.815972222219</v>
      </c>
      <c r="E697" t="s">
        <v>47</v>
      </c>
      <c r="F697" t="s">
        <v>90</v>
      </c>
      <c r="G697">
        <v>-122.32091</v>
      </c>
      <c r="H697">
        <v>47.621986</v>
      </c>
      <c r="I697" t="s">
        <v>737</v>
      </c>
      <c r="J697">
        <f t="shared" si="10"/>
        <v>2</v>
      </c>
      <c r="K697">
        <v>0</v>
      </c>
    </row>
    <row r="698" spans="1:11" x14ac:dyDescent="0.25">
      <c r="A698">
        <v>1703027</v>
      </c>
      <c r="B698">
        <v>50</v>
      </c>
      <c r="C698" t="s">
        <v>211</v>
      </c>
      <c r="D698" s="1">
        <v>42456.811111111114</v>
      </c>
      <c r="E698" t="s">
        <v>52</v>
      </c>
      <c r="F698" t="s">
        <v>53</v>
      </c>
      <c r="G698">
        <v>-122.32402</v>
      </c>
      <c r="H698">
        <v>47.681980000000003</v>
      </c>
      <c r="I698" t="s">
        <v>720</v>
      </c>
      <c r="J698">
        <f t="shared" si="10"/>
        <v>2</v>
      </c>
      <c r="K698">
        <v>0</v>
      </c>
    </row>
    <row r="699" spans="1:11" x14ac:dyDescent="0.25">
      <c r="A699">
        <v>1703028</v>
      </c>
      <c r="B699">
        <v>63</v>
      </c>
      <c r="C699" t="s">
        <v>87</v>
      </c>
      <c r="D699" s="1">
        <v>42456.809027777781</v>
      </c>
      <c r="E699" t="s">
        <v>40</v>
      </c>
      <c r="F699" t="s">
        <v>115</v>
      </c>
      <c r="G699">
        <v>-122.30414</v>
      </c>
      <c r="H699">
        <v>47.636450000000004</v>
      </c>
      <c r="I699" t="s">
        <v>738</v>
      </c>
      <c r="J699">
        <f t="shared" si="10"/>
        <v>1</v>
      </c>
      <c r="K699">
        <v>1</v>
      </c>
    </row>
    <row r="700" spans="1:11" x14ac:dyDescent="0.25">
      <c r="A700">
        <v>1703029</v>
      </c>
      <c r="B700">
        <v>63</v>
      </c>
      <c r="C700" t="s">
        <v>87</v>
      </c>
      <c r="D700" s="1">
        <v>42456.811111111114</v>
      </c>
      <c r="E700" t="s">
        <v>40</v>
      </c>
      <c r="F700" t="s">
        <v>115</v>
      </c>
      <c r="G700">
        <v>-122.28264</v>
      </c>
      <c r="H700">
        <v>47.636980000000001</v>
      </c>
      <c r="I700" t="s">
        <v>739</v>
      </c>
      <c r="J700">
        <f t="shared" si="10"/>
        <v>1</v>
      </c>
      <c r="K700">
        <v>3</v>
      </c>
    </row>
    <row r="701" spans="1:11" x14ac:dyDescent="0.25">
      <c r="A701">
        <v>1703030</v>
      </c>
      <c r="B701">
        <v>50</v>
      </c>
      <c r="C701" t="s">
        <v>211</v>
      </c>
      <c r="D701" s="1">
        <v>42456.809027777781</v>
      </c>
      <c r="E701" t="s">
        <v>95</v>
      </c>
      <c r="F701" t="s">
        <v>96</v>
      </c>
      <c r="G701">
        <v>-122.28776999999999</v>
      </c>
      <c r="H701">
        <v>47.682079999999999</v>
      </c>
      <c r="I701" t="s">
        <v>740</v>
      </c>
      <c r="J701">
        <f t="shared" si="10"/>
        <v>1</v>
      </c>
      <c r="K701">
        <v>3</v>
      </c>
    </row>
    <row r="702" spans="1:11" x14ac:dyDescent="0.25">
      <c r="A702">
        <v>1703031</v>
      </c>
      <c r="B702">
        <v>282</v>
      </c>
      <c r="C702" t="s">
        <v>486</v>
      </c>
      <c r="D702" s="1">
        <v>42456.811805555553</v>
      </c>
      <c r="E702" t="s">
        <v>47</v>
      </c>
      <c r="F702" t="s">
        <v>90</v>
      </c>
      <c r="G702">
        <v>-122.31886</v>
      </c>
      <c r="H702">
        <v>47.622549999999997</v>
      </c>
      <c r="I702" t="s">
        <v>741</v>
      </c>
      <c r="J702">
        <f t="shared" si="10"/>
        <v>1</v>
      </c>
      <c r="K702">
        <v>3</v>
      </c>
    </row>
    <row r="703" spans="1:11" x14ac:dyDescent="0.25">
      <c r="A703">
        <v>1703032</v>
      </c>
      <c r="B703">
        <v>74</v>
      </c>
      <c r="C703" t="s">
        <v>94</v>
      </c>
      <c r="D703" s="1">
        <v>42456.810416666667</v>
      </c>
      <c r="E703" t="s">
        <v>52</v>
      </c>
      <c r="F703" t="s">
        <v>120</v>
      </c>
      <c r="G703">
        <v>-122.38643</v>
      </c>
      <c r="H703">
        <v>47.698979999999999</v>
      </c>
      <c r="I703" t="s">
        <v>742</v>
      </c>
      <c r="J703">
        <f t="shared" si="10"/>
        <v>1</v>
      </c>
      <c r="K703">
        <v>3</v>
      </c>
    </row>
    <row r="704" spans="1:11" x14ac:dyDescent="0.25">
      <c r="A704">
        <v>1703034</v>
      </c>
      <c r="B704">
        <v>470</v>
      </c>
      <c r="C704" t="s">
        <v>14</v>
      </c>
      <c r="D704" s="1">
        <v>42456.818055555559</v>
      </c>
      <c r="E704" t="s">
        <v>40</v>
      </c>
      <c r="F704" t="s">
        <v>115</v>
      </c>
      <c r="G704">
        <v>-122.31014999999999</v>
      </c>
      <c r="H704">
        <v>47.616444000000001</v>
      </c>
      <c r="I704" t="s">
        <v>743</v>
      </c>
      <c r="J704">
        <f t="shared" si="10"/>
        <v>1</v>
      </c>
      <c r="K704">
        <v>2</v>
      </c>
    </row>
    <row r="705" spans="1:11" x14ac:dyDescent="0.25">
      <c r="A705">
        <v>1703035</v>
      </c>
      <c r="B705">
        <v>40</v>
      </c>
      <c r="C705" t="s">
        <v>119</v>
      </c>
      <c r="D705" s="1">
        <v>42456.822222222225</v>
      </c>
      <c r="E705" t="s">
        <v>15</v>
      </c>
      <c r="F705" t="s">
        <v>390</v>
      </c>
      <c r="G705">
        <v>-122.30747</v>
      </c>
      <c r="H705">
        <v>47.590560000000004</v>
      </c>
      <c r="I705" t="s">
        <v>744</v>
      </c>
      <c r="J705">
        <f t="shared" si="10"/>
        <v>1</v>
      </c>
      <c r="K705">
        <v>2</v>
      </c>
    </row>
    <row r="706" spans="1:11" x14ac:dyDescent="0.25">
      <c r="A706">
        <v>1703036</v>
      </c>
      <c r="B706">
        <v>73</v>
      </c>
      <c r="C706" t="s">
        <v>458</v>
      </c>
      <c r="D706" s="1">
        <v>42456.818055555559</v>
      </c>
      <c r="E706" t="s">
        <v>130</v>
      </c>
      <c r="F706" t="s">
        <v>272</v>
      </c>
      <c r="G706">
        <v>-122.311325</v>
      </c>
      <c r="H706">
        <v>47.7194</v>
      </c>
      <c r="I706" t="s">
        <v>745</v>
      </c>
      <c r="J706">
        <f t="shared" ref="J706:J769" si="11">COUNTIF($I$2:$I$1046,I706)</f>
        <v>1</v>
      </c>
      <c r="K706">
        <v>2</v>
      </c>
    </row>
    <row r="707" spans="1:11" x14ac:dyDescent="0.25">
      <c r="A707">
        <v>1703037</v>
      </c>
      <c r="B707">
        <v>280</v>
      </c>
      <c r="C707" t="s">
        <v>22</v>
      </c>
      <c r="D707" s="1">
        <v>42456.8125</v>
      </c>
      <c r="E707" t="s">
        <v>52</v>
      </c>
      <c r="F707" t="s">
        <v>53</v>
      </c>
      <c r="G707">
        <v>-122.3553</v>
      </c>
      <c r="H707">
        <v>47.685482</v>
      </c>
      <c r="I707" t="s">
        <v>746</v>
      </c>
      <c r="J707">
        <f t="shared" si="11"/>
        <v>1</v>
      </c>
      <c r="K707">
        <v>2</v>
      </c>
    </row>
    <row r="708" spans="1:11" x14ac:dyDescent="0.25">
      <c r="A708">
        <v>1703038</v>
      </c>
      <c r="B708">
        <v>63</v>
      </c>
      <c r="C708" t="s">
        <v>87</v>
      </c>
      <c r="D708" s="1">
        <v>42456.817361111112</v>
      </c>
      <c r="E708" t="s">
        <v>71</v>
      </c>
      <c r="F708" t="s">
        <v>126</v>
      </c>
      <c r="G708">
        <v>-122.39270999999999</v>
      </c>
      <c r="H708">
        <v>47.530659999999997</v>
      </c>
      <c r="I708" t="s">
        <v>747</v>
      </c>
      <c r="J708">
        <f t="shared" si="11"/>
        <v>1</v>
      </c>
      <c r="K708">
        <v>1</v>
      </c>
    </row>
    <row r="709" spans="1:11" x14ac:dyDescent="0.25">
      <c r="A709">
        <v>1703039</v>
      </c>
      <c r="B709">
        <v>161</v>
      </c>
      <c r="C709" t="s">
        <v>35</v>
      </c>
      <c r="D709" s="1">
        <v>42456.813888888886</v>
      </c>
      <c r="E709" t="s">
        <v>47</v>
      </c>
      <c r="F709" t="s">
        <v>90</v>
      </c>
      <c r="G709">
        <v>-122.31782</v>
      </c>
      <c r="H709">
        <v>47.622543</v>
      </c>
      <c r="I709" t="s">
        <v>748</v>
      </c>
      <c r="J709">
        <f t="shared" si="11"/>
        <v>1</v>
      </c>
      <c r="K709">
        <v>4</v>
      </c>
    </row>
    <row r="710" spans="1:11" x14ac:dyDescent="0.25">
      <c r="A710">
        <v>1703040</v>
      </c>
      <c r="B710">
        <v>372</v>
      </c>
      <c r="C710" t="s">
        <v>84</v>
      </c>
      <c r="D710" s="1">
        <v>42456.813194444447</v>
      </c>
      <c r="E710" t="s">
        <v>47</v>
      </c>
      <c r="F710" t="s">
        <v>48</v>
      </c>
      <c r="G710">
        <v>-122.31685</v>
      </c>
      <c r="H710">
        <v>47.614685000000001</v>
      </c>
      <c r="I710" t="s">
        <v>343</v>
      </c>
      <c r="J710">
        <f t="shared" si="11"/>
        <v>3</v>
      </c>
      <c r="K710">
        <v>4</v>
      </c>
    </row>
    <row r="711" spans="1:11" x14ac:dyDescent="0.25">
      <c r="A711">
        <v>1703041</v>
      </c>
      <c r="B711">
        <v>460</v>
      </c>
      <c r="C711" t="s">
        <v>18</v>
      </c>
      <c r="D711" s="1">
        <v>42456.824305555558</v>
      </c>
      <c r="E711" t="s">
        <v>29</v>
      </c>
      <c r="F711" t="s">
        <v>156</v>
      </c>
      <c r="G711">
        <v>-122.3013</v>
      </c>
      <c r="H711">
        <v>47.548609999999996</v>
      </c>
      <c r="I711" t="s">
        <v>749</v>
      </c>
      <c r="J711">
        <f t="shared" si="11"/>
        <v>1</v>
      </c>
      <c r="K711">
        <v>0</v>
      </c>
    </row>
    <row r="712" spans="1:11" x14ac:dyDescent="0.25">
      <c r="A712">
        <v>1703042</v>
      </c>
      <c r="B712">
        <v>280</v>
      </c>
      <c r="C712" t="s">
        <v>22</v>
      </c>
      <c r="D712" s="1">
        <v>42456.824999999997</v>
      </c>
      <c r="E712" t="s">
        <v>11</v>
      </c>
      <c r="F712" t="s">
        <v>33</v>
      </c>
      <c r="G712">
        <v>-122.29924</v>
      </c>
      <c r="H712">
        <v>47.583644999999997</v>
      </c>
      <c r="I712" t="s">
        <v>750</v>
      </c>
      <c r="J712">
        <f t="shared" si="11"/>
        <v>1</v>
      </c>
      <c r="K712">
        <v>0</v>
      </c>
    </row>
    <row r="713" spans="1:11" x14ac:dyDescent="0.25">
      <c r="A713">
        <v>1703043</v>
      </c>
      <c r="B713">
        <v>430</v>
      </c>
      <c r="C713" t="s">
        <v>70</v>
      </c>
      <c r="D713" s="1">
        <v>42456.825694444444</v>
      </c>
      <c r="E713" t="s">
        <v>104</v>
      </c>
      <c r="F713" t="s">
        <v>184</v>
      </c>
      <c r="G713">
        <v>-122.355965</v>
      </c>
      <c r="H713">
        <v>47.57058</v>
      </c>
      <c r="I713" t="s">
        <v>751</v>
      </c>
      <c r="J713">
        <f t="shared" si="11"/>
        <v>1</v>
      </c>
      <c r="K713">
        <v>2</v>
      </c>
    </row>
    <row r="714" spans="1:11" x14ac:dyDescent="0.25">
      <c r="A714">
        <v>1703044</v>
      </c>
      <c r="B714">
        <v>161</v>
      </c>
      <c r="C714" t="s">
        <v>35</v>
      </c>
      <c r="D714" s="1">
        <v>42456.826388888891</v>
      </c>
      <c r="E714" t="s">
        <v>78</v>
      </c>
      <c r="F714" t="s">
        <v>79</v>
      </c>
      <c r="G714">
        <v>-122.374855</v>
      </c>
      <c r="H714">
        <v>47.663662000000002</v>
      </c>
      <c r="I714" t="s">
        <v>752</v>
      </c>
      <c r="J714">
        <f t="shared" si="11"/>
        <v>1</v>
      </c>
      <c r="K714">
        <v>3</v>
      </c>
    </row>
    <row r="715" spans="1:11" x14ac:dyDescent="0.25">
      <c r="A715">
        <v>1703045</v>
      </c>
      <c r="B715">
        <v>430</v>
      </c>
      <c r="C715" t="s">
        <v>70</v>
      </c>
      <c r="D715" s="1">
        <v>42456.831250000003</v>
      </c>
      <c r="E715" t="s">
        <v>95</v>
      </c>
      <c r="F715" t="s">
        <v>367</v>
      </c>
      <c r="G715">
        <v>-122.31634</v>
      </c>
      <c r="H715">
        <v>47.664929999999998</v>
      </c>
      <c r="I715" t="s">
        <v>753</v>
      </c>
      <c r="J715">
        <f t="shared" si="11"/>
        <v>1</v>
      </c>
      <c r="K715">
        <v>2</v>
      </c>
    </row>
    <row r="716" spans="1:11" x14ac:dyDescent="0.25">
      <c r="A716">
        <v>1703046</v>
      </c>
      <c r="B716">
        <v>450</v>
      </c>
      <c r="C716" t="s">
        <v>266</v>
      </c>
      <c r="D716" s="1">
        <v>42456.837500000001</v>
      </c>
      <c r="E716" t="s">
        <v>78</v>
      </c>
      <c r="F716" t="s">
        <v>85</v>
      </c>
      <c r="G716">
        <v>-122.32404</v>
      </c>
      <c r="H716">
        <v>47.660769999999999</v>
      </c>
      <c r="I716" t="s">
        <v>754</v>
      </c>
      <c r="J716">
        <f t="shared" si="11"/>
        <v>1</v>
      </c>
      <c r="K716">
        <v>0</v>
      </c>
    </row>
    <row r="717" spans="1:11" x14ac:dyDescent="0.25">
      <c r="A717">
        <v>1703047</v>
      </c>
      <c r="B717">
        <v>460</v>
      </c>
      <c r="C717" t="s">
        <v>18</v>
      </c>
      <c r="D717" s="1">
        <v>42456.827777777777</v>
      </c>
      <c r="E717" t="s">
        <v>19</v>
      </c>
      <c r="F717" t="s">
        <v>20</v>
      </c>
      <c r="G717">
        <v>-122.34451</v>
      </c>
      <c r="H717">
        <v>47.571559999999998</v>
      </c>
      <c r="I717" t="s">
        <v>755</v>
      </c>
      <c r="J717">
        <f t="shared" si="11"/>
        <v>1</v>
      </c>
      <c r="K717">
        <v>1</v>
      </c>
    </row>
    <row r="718" spans="1:11" x14ac:dyDescent="0.25">
      <c r="A718">
        <v>1703048</v>
      </c>
      <c r="B718">
        <v>430</v>
      </c>
      <c r="C718" t="s">
        <v>70</v>
      </c>
      <c r="D718" s="1">
        <v>42456.834027777775</v>
      </c>
      <c r="E718" t="s">
        <v>67</v>
      </c>
      <c r="F718" t="s">
        <v>100</v>
      </c>
      <c r="G718">
        <v>-122.34326</v>
      </c>
      <c r="H718">
        <v>47.611454000000002</v>
      </c>
      <c r="I718" t="s">
        <v>756</v>
      </c>
      <c r="J718">
        <f t="shared" si="11"/>
        <v>1</v>
      </c>
      <c r="K718">
        <v>2</v>
      </c>
    </row>
    <row r="719" spans="1:11" x14ac:dyDescent="0.25">
      <c r="A719">
        <v>1703049</v>
      </c>
      <c r="B719">
        <v>64</v>
      </c>
      <c r="C719" t="s">
        <v>158</v>
      </c>
      <c r="D719" s="1">
        <v>42456.82708333333</v>
      </c>
      <c r="E719" t="s">
        <v>78</v>
      </c>
      <c r="F719" t="s">
        <v>85</v>
      </c>
      <c r="G719">
        <v>-122.33991</v>
      </c>
      <c r="H719">
        <v>47.661385000000003</v>
      </c>
      <c r="I719" t="s">
        <v>757</v>
      </c>
      <c r="J719">
        <f t="shared" si="11"/>
        <v>1</v>
      </c>
      <c r="K719">
        <v>1</v>
      </c>
    </row>
    <row r="720" spans="1:11" x14ac:dyDescent="0.25">
      <c r="A720">
        <v>1703050</v>
      </c>
      <c r="B720">
        <v>63</v>
      </c>
      <c r="C720" t="s">
        <v>87</v>
      </c>
      <c r="D720" s="1">
        <v>42456.831250000003</v>
      </c>
      <c r="E720" t="s">
        <v>67</v>
      </c>
      <c r="F720" t="s">
        <v>193</v>
      </c>
      <c r="G720">
        <v>-122.33835000000001</v>
      </c>
      <c r="H720">
        <v>47.609515999999999</v>
      </c>
      <c r="I720" t="s">
        <v>366</v>
      </c>
      <c r="J720">
        <f t="shared" si="11"/>
        <v>8</v>
      </c>
      <c r="K720">
        <v>1</v>
      </c>
    </row>
    <row r="721" spans="1:11" x14ac:dyDescent="0.25">
      <c r="A721">
        <v>1703051</v>
      </c>
      <c r="B721">
        <v>65</v>
      </c>
      <c r="C721" t="s">
        <v>39</v>
      </c>
      <c r="D721" s="1">
        <v>42456.831944444442</v>
      </c>
      <c r="E721" t="s">
        <v>67</v>
      </c>
      <c r="F721" t="s">
        <v>68</v>
      </c>
      <c r="G721">
        <v>-122.33759000000001</v>
      </c>
      <c r="H721">
        <v>47.611206000000003</v>
      </c>
      <c r="I721" t="s">
        <v>196</v>
      </c>
      <c r="J721">
        <f t="shared" si="11"/>
        <v>5</v>
      </c>
      <c r="K721">
        <v>4</v>
      </c>
    </row>
    <row r="722" spans="1:11" x14ac:dyDescent="0.25">
      <c r="A722">
        <v>1703052</v>
      </c>
      <c r="B722">
        <v>245</v>
      </c>
      <c r="C722" t="s">
        <v>32</v>
      </c>
      <c r="D722" s="1">
        <v>42456.832638888889</v>
      </c>
      <c r="E722" t="s">
        <v>47</v>
      </c>
      <c r="F722" t="s">
        <v>90</v>
      </c>
      <c r="G722">
        <v>-122.320915</v>
      </c>
      <c r="H722">
        <v>47.62256</v>
      </c>
      <c r="I722" t="s">
        <v>129</v>
      </c>
      <c r="J722">
        <f t="shared" si="11"/>
        <v>5</v>
      </c>
      <c r="K722">
        <v>2</v>
      </c>
    </row>
    <row r="723" spans="1:11" x14ac:dyDescent="0.25">
      <c r="A723">
        <v>1703053</v>
      </c>
      <c r="B723">
        <v>250</v>
      </c>
      <c r="C723" t="s">
        <v>59</v>
      </c>
      <c r="D723" s="1">
        <v>42456.84097222222</v>
      </c>
      <c r="E723" t="s">
        <v>71</v>
      </c>
      <c r="F723" t="s">
        <v>110</v>
      </c>
      <c r="G723">
        <v>-122.29465</v>
      </c>
      <c r="H723">
        <v>47.560850000000002</v>
      </c>
      <c r="I723" t="s">
        <v>758</v>
      </c>
      <c r="J723">
        <f t="shared" si="11"/>
        <v>1</v>
      </c>
      <c r="K723">
        <v>1</v>
      </c>
    </row>
    <row r="724" spans="1:11" x14ac:dyDescent="0.25">
      <c r="A724">
        <v>1703054</v>
      </c>
      <c r="B724">
        <v>200</v>
      </c>
      <c r="C724" t="s">
        <v>187</v>
      </c>
      <c r="D724" s="1">
        <v>42456.836111111108</v>
      </c>
      <c r="E724" t="s">
        <v>19</v>
      </c>
      <c r="F724" t="s">
        <v>20</v>
      </c>
      <c r="G724">
        <v>-122.3342</v>
      </c>
      <c r="H724">
        <v>47.582934999999999</v>
      </c>
      <c r="I724" t="s">
        <v>249</v>
      </c>
      <c r="J724">
        <f t="shared" si="11"/>
        <v>2</v>
      </c>
      <c r="K724">
        <v>2</v>
      </c>
    </row>
    <row r="725" spans="1:11" x14ac:dyDescent="0.25">
      <c r="A725">
        <v>1703055</v>
      </c>
      <c r="B725">
        <v>203</v>
      </c>
      <c r="C725" t="s">
        <v>161</v>
      </c>
      <c r="D725" s="1">
        <v>42456.838888888888</v>
      </c>
      <c r="E725" t="s">
        <v>52</v>
      </c>
      <c r="F725" t="s">
        <v>232</v>
      </c>
      <c r="G725">
        <v>-122.37196</v>
      </c>
      <c r="H725">
        <v>47.678673000000003</v>
      </c>
      <c r="I725" t="s">
        <v>759</v>
      </c>
      <c r="J725">
        <f t="shared" si="11"/>
        <v>1</v>
      </c>
      <c r="K725">
        <v>1</v>
      </c>
    </row>
    <row r="726" spans="1:11" x14ac:dyDescent="0.25">
      <c r="A726">
        <v>1703056</v>
      </c>
      <c r="B726">
        <v>64</v>
      </c>
      <c r="C726" t="s">
        <v>158</v>
      </c>
      <c r="D726" s="1">
        <v>42456.842361111114</v>
      </c>
      <c r="E726" t="s">
        <v>67</v>
      </c>
      <c r="F726" t="s">
        <v>193</v>
      </c>
      <c r="G726">
        <v>-122.33734</v>
      </c>
      <c r="H726">
        <v>47.609253000000002</v>
      </c>
      <c r="I726" t="s">
        <v>760</v>
      </c>
      <c r="J726">
        <f t="shared" si="11"/>
        <v>1</v>
      </c>
      <c r="K726">
        <v>3</v>
      </c>
    </row>
    <row r="727" spans="1:11" x14ac:dyDescent="0.25">
      <c r="A727">
        <v>1703057</v>
      </c>
      <c r="B727">
        <v>244</v>
      </c>
      <c r="C727" t="s">
        <v>286</v>
      </c>
      <c r="D727" s="1">
        <v>42456.843055555553</v>
      </c>
      <c r="E727" t="s">
        <v>145</v>
      </c>
      <c r="F727" t="s">
        <v>146</v>
      </c>
      <c r="G727">
        <v>-122.3381</v>
      </c>
      <c r="H727">
        <v>47.705044000000001</v>
      </c>
      <c r="I727" t="s">
        <v>761</v>
      </c>
      <c r="J727">
        <f t="shared" si="11"/>
        <v>1</v>
      </c>
      <c r="K727">
        <v>1</v>
      </c>
    </row>
    <row r="728" spans="1:11" x14ac:dyDescent="0.25">
      <c r="A728">
        <v>1703058</v>
      </c>
      <c r="B728">
        <v>470</v>
      </c>
      <c r="C728" t="s">
        <v>14</v>
      </c>
      <c r="D728" s="1">
        <v>42456.850694444445</v>
      </c>
      <c r="E728" t="s">
        <v>71</v>
      </c>
      <c r="F728" t="s">
        <v>110</v>
      </c>
      <c r="G728">
        <v>-122.29906</v>
      </c>
      <c r="H728">
        <v>47.592506</v>
      </c>
      <c r="I728" t="s">
        <v>762</v>
      </c>
      <c r="J728">
        <f t="shared" si="11"/>
        <v>1</v>
      </c>
      <c r="K728">
        <v>1</v>
      </c>
    </row>
    <row r="729" spans="1:11" x14ac:dyDescent="0.25">
      <c r="A729">
        <v>1703059</v>
      </c>
      <c r="B729">
        <v>280</v>
      </c>
      <c r="C729" t="s">
        <v>22</v>
      </c>
      <c r="D729" s="1">
        <v>42456.848611111112</v>
      </c>
      <c r="E729" t="s">
        <v>64</v>
      </c>
      <c r="F729" t="s">
        <v>215</v>
      </c>
      <c r="G729">
        <v>-122.3776</v>
      </c>
      <c r="H729">
        <v>47.582492999999999</v>
      </c>
      <c r="I729" t="s">
        <v>763</v>
      </c>
      <c r="J729">
        <f t="shared" si="11"/>
        <v>1</v>
      </c>
      <c r="K729">
        <v>0</v>
      </c>
    </row>
    <row r="730" spans="1:11" x14ac:dyDescent="0.25">
      <c r="A730">
        <v>1703060</v>
      </c>
      <c r="B730">
        <v>245</v>
      </c>
      <c r="C730" t="s">
        <v>32</v>
      </c>
      <c r="D730" s="1">
        <v>42456.842361111114</v>
      </c>
      <c r="E730" t="s">
        <v>52</v>
      </c>
      <c r="F730" t="s">
        <v>120</v>
      </c>
      <c r="G730">
        <v>-122.35800999999999</v>
      </c>
      <c r="H730">
        <v>47.693333000000003</v>
      </c>
      <c r="I730" t="s">
        <v>764</v>
      </c>
      <c r="J730">
        <f t="shared" si="11"/>
        <v>1</v>
      </c>
      <c r="K730">
        <v>2</v>
      </c>
    </row>
    <row r="731" spans="1:11" x14ac:dyDescent="0.25">
      <c r="A731">
        <v>1703061</v>
      </c>
      <c r="B731">
        <v>161</v>
      </c>
      <c r="C731" t="s">
        <v>35</v>
      </c>
      <c r="D731" s="1">
        <v>42456.848611111112</v>
      </c>
      <c r="E731" t="s">
        <v>95</v>
      </c>
      <c r="F731" t="s">
        <v>98</v>
      </c>
      <c r="G731">
        <v>-122.31636</v>
      </c>
      <c r="H731">
        <v>47.663110000000003</v>
      </c>
      <c r="I731" t="s">
        <v>765</v>
      </c>
      <c r="J731">
        <f t="shared" si="11"/>
        <v>1</v>
      </c>
      <c r="K731">
        <v>0</v>
      </c>
    </row>
    <row r="732" spans="1:11" x14ac:dyDescent="0.25">
      <c r="A732">
        <v>1703062</v>
      </c>
      <c r="B732">
        <v>415</v>
      </c>
      <c r="C732" t="s">
        <v>228</v>
      </c>
      <c r="D732" s="1">
        <v>42456.845138888886</v>
      </c>
      <c r="E732" t="s">
        <v>78</v>
      </c>
      <c r="F732" t="s">
        <v>113</v>
      </c>
      <c r="G732">
        <v>-122.34925</v>
      </c>
      <c r="H732">
        <v>47.653359999999999</v>
      </c>
      <c r="I732" t="s">
        <v>766</v>
      </c>
      <c r="J732">
        <f t="shared" si="11"/>
        <v>1</v>
      </c>
      <c r="K732">
        <v>0</v>
      </c>
    </row>
    <row r="733" spans="1:11" x14ac:dyDescent="0.25">
      <c r="A733">
        <v>1703063</v>
      </c>
      <c r="B733">
        <v>40</v>
      </c>
      <c r="C733" t="s">
        <v>119</v>
      </c>
      <c r="D733" s="1">
        <v>42456.847222222219</v>
      </c>
      <c r="E733" t="s">
        <v>23</v>
      </c>
      <c r="F733" t="s">
        <v>88</v>
      </c>
      <c r="G733">
        <v>-122.35671000000001</v>
      </c>
      <c r="H733">
        <v>47.624580000000002</v>
      </c>
      <c r="I733" t="s">
        <v>374</v>
      </c>
      <c r="J733">
        <f t="shared" si="11"/>
        <v>2</v>
      </c>
      <c r="K733">
        <v>1</v>
      </c>
    </row>
    <row r="734" spans="1:11" x14ac:dyDescent="0.25">
      <c r="A734">
        <v>1703064</v>
      </c>
      <c r="B734">
        <v>470</v>
      </c>
      <c r="C734" t="s">
        <v>14</v>
      </c>
      <c r="D734" s="1">
        <v>42456.84652777778</v>
      </c>
      <c r="E734" t="s">
        <v>52</v>
      </c>
      <c r="F734" t="s">
        <v>232</v>
      </c>
      <c r="G734">
        <v>-122.359314</v>
      </c>
      <c r="H734">
        <v>47.689835000000002</v>
      </c>
      <c r="I734" t="s">
        <v>767</v>
      </c>
      <c r="J734">
        <f t="shared" si="11"/>
        <v>1</v>
      </c>
      <c r="K734">
        <v>3</v>
      </c>
    </row>
    <row r="735" spans="1:11" x14ac:dyDescent="0.25">
      <c r="A735">
        <v>1703065</v>
      </c>
      <c r="B735">
        <v>177</v>
      </c>
      <c r="C735" t="s">
        <v>61</v>
      </c>
      <c r="D735" s="1">
        <v>42456.852777777778</v>
      </c>
      <c r="E735" t="s">
        <v>67</v>
      </c>
      <c r="F735" t="s">
        <v>193</v>
      </c>
      <c r="G735">
        <v>-122.336685</v>
      </c>
      <c r="H735">
        <v>47.610213999999999</v>
      </c>
      <c r="I735" t="s">
        <v>768</v>
      </c>
      <c r="J735">
        <f t="shared" si="11"/>
        <v>1</v>
      </c>
      <c r="K735">
        <v>4</v>
      </c>
    </row>
    <row r="736" spans="1:11" x14ac:dyDescent="0.25">
      <c r="A736">
        <v>1703066</v>
      </c>
      <c r="B736">
        <v>280</v>
      </c>
      <c r="C736" t="s">
        <v>22</v>
      </c>
      <c r="D736" s="1">
        <v>42456.856944444444</v>
      </c>
      <c r="E736" t="s">
        <v>145</v>
      </c>
      <c r="F736" t="s">
        <v>314</v>
      </c>
      <c r="G736">
        <v>-122.36230999999999</v>
      </c>
      <c r="H736">
        <v>47.720550000000003</v>
      </c>
      <c r="I736" t="s">
        <v>769</v>
      </c>
      <c r="J736">
        <f t="shared" si="11"/>
        <v>1</v>
      </c>
      <c r="K736">
        <v>3</v>
      </c>
    </row>
    <row r="737" spans="1:11" x14ac:dyDescent="0.25">
      <c r="A737">
        <v>1703067</v>
      </c>
      <c r="B737">
        <v>245</v>
      </c>
      <c r="C737" t="s">
        <v>32</v>
      </c>
      <c r="D737" s="1">
        <v>42456.856249999997</v>
      </c>
      <c r="E737" t="s">
        <v>64</v>
      </c>
      <c r="F737" t="s">
        <v>65</v>
      </c>
      <c r="G737">
        <v>-122.37257</v>
      </c>
      <c r="H737">
        <v>47.564660000000003</v>
      </c>
      <c r="I737" t="s">
        <v>770</v>
      </c>
      <c r="J737">
        <f t="shared" si="11"/>
        <v>1</v>
      </c>
      <c r="K737">
        <v>3</v>
      </c>
    </row>
    <row r="738" spans="1:11" x14ac:dyDescent="0.25">
      <c r="A738">
        <v>1703068</v>
      </c>
      <c r="B738">
        <v>63</v>
      </c>
      <c r="C738" t="s">
        <v>87</v>
      </c>
      <c r="D738" s="1">
        <v>42456.852083333331</v>
      </c>
      <c r="E738" t="s">
        <v>11</v>
      </c>
      <c r="F738" t="s">
        <v>245</v>
      </c>
      <c r="G738">
        <v>-122.30553999999999</v>
      </c>
      <c r="H738">
        <v>47.572505999999997</v>
      </c>
      <c r="I738" t="s">
        <v>771</v>
      </c>
      <c r="J738">
        <f t="shared" si="11"/>
        <v>1</v>
      </c>
      <c r="K738">
        <v>2</v>
      </c>
    </row>
    <row r="739" spans="1:11" x14ac:dyDescent="0.25">
      <c r="A739">
        <v>1703069</v>
      </c>
      <c r="B739">
        <v>280</v>
      </c>
      <c r="C739" t="s">
        <v>22</v>
      </c>
      <c r="D739" s="1">
        <v>42456.849305555559</v>
      </c>
      <c r="E739" t="s">
        <v>78</v>
      </c>
      <c r="F739" t="s">
        <v>113</v>
      </c>
      <c r="G739">
        <v>-122.35146</v>
      </c>
      <c r="H739">
        <v>47.665011999999997</v>
      </c>
      <c r="I739" t="s">
        <v>772</v>
      </c>
      <c r="J739">
        <f t="shared" si="11"/>
        <v>1</v>
      </c>
      <c r="K739">
        <v>3</v>
      </c>
    </row>
    <row r="740" spans="1:11" x14ac:dyDescent="0.25">
      <c r="A740">
        <v>1703070</v>
      </c>
      <c r="B740">
        <v>65</v>
      </c>
      <c r="C740" t="s">
        <v>39</v>
      </c>
      <c r="D740" s="1">
        <v>42456.847916666666</v>
      </c>
      <c r="E740" t="s">
        <v>64</v>
      </c>
      <c r="F740" t="s">
        <v>215</v>
      </c>
      <c r="G740">
        <v>-122.38238</v>
      </c>
      <c r="H740">
        <v>47.591312000000002</v>
      </c>
      <c r="I740" t="s">
        <v>250</v>
      </c>
      <c r="J740">
        <f t="shared" si="11"/>
        <v>2</v>
      </c>
      <c r="K740">
        <v>1</v>
      </c>
    </row>
    <row r="741" spans="1:11" x14ac:dyDescent="0.25">
      <c r="A741">
        <v>1703071</v>
      </c>
      <c r="B741">
        <v>177</v>
      </c>
      <c r="C741" t="s">
        <v>61</v>
      </c>
      <c r="D741" s="1">
        <v>42456.855555555558</v>
      </c>
      <c r="E741" t="s">
        <v>43</v>
      </c>
      <c r="F741" t="s">
        <v>44</v>
      </c>
      <c r="G741">
        <v>-122.33081</v>
      </c>
      <c r="H741">
        <v>47.600464000000002</v>
      </c>
      <c r="I741" t="s">
        <v>45</v>
      </c>
      <c r="J741">
        <f t="shared" si="11"/>
        <v>17</v>
      </c>
      <c r="K741">
        <v>3</v>
      </c>
    </row>
    <row r="742" spans="1:11" x14ac:dyDescent="0.25">
      <c r="A742">
        <v>1703072</v>
      </c>
      <c r="B742">
        <v>242</v>
      </c>
      <c r="C742" t="s">
        <v>10</v>
      </c>
      <c r="D742" s="1">
        <v>42456.859722222223</v>
      </c>
      <c r="E742" t="s">
        <v>29</v>
      </c>
      <c r="F742" t="s">
        <v>55</v>
      </c>
      <c r="G742">
        <v>-122.27809000000001</v>
      </c>
      <c r="H742">
        <v>47.530630000000002</v>
      </c>
      <c r="I742" t="s">
        <v>623</v>
      </c>
      <c r="J742">
        <f t="shared" si="11"/>
        <v>3</v>
      </c>
      <c r="K742">
        <v>0</v>
      </c>
    </row>
    <row r="743" spans="1:11" x14ac:dyDescent="0.25">
      <c r="A743">
        <v>1703073</v>
      </c>
      <c r="B743">
        <v>200</v>
      </c>
      <c r="C743" t="s">
        <v>187</v>
      </c>
      <c r="D743" s="1">
        <v>42456.863888888889</v>
      </c>
      <c r="E743" t="s">
        <v>67</v>
      </c>
      <c r="F743" t="s">
        <v>193</v>
      </c>
      <c r="G743">
        <v>-122.33602999999999</v>
      </c>
      <c r="H743">
        <v>47.611176</v>
      </c>
      <c r="I743" t="s">
        <v>691</v>
      </c>
      <c r="J743">
        <f t="shared" si="11"/>
        <v>2</v>
      </c>
      <c r="K743">
        <v>1</v>
      </c>
    </row>
    <row r="744" spans="1:11" x14ac:dyDescent="0.25">
      <c r="A744">
        <v>1703074</v>
      </c>
      <c r="B744">
        <v>250</v>
      </c>
      <c r="C744" t="s">
        <v>59</v>
      </c>
      <c r="D744" s="1">
        <v>42456.85833333333</v>
      </c>
      <c r="E744" t="s">
        <v>23</v>
      </c>
      <c r="F744" t="s">
        <v>24</v>
      </c>
      <c r="G744">
        <v>-122.38331599999999</v>
      </c>
      <c r="H744">
        <v>47.643386999999997</v>
      </c>
      <c r="I744" t="s">
        <v>773</v>
      </c>
      <c r="J744">
        <f t="shared" si="11"/>
        <v>1</v>
      </c>
      <c r="K744">
        <v>3</v>
      </c>
    </row>
    <row r="745" spans="1:11" x14ac:dyDescent="0.25">
      <c r="A745">
        <v>1703075</v>
      </c>
      <c r="B745">
        <v>161</v>
      </c>
      <c r="C745" t="s">
        <v>35</v>
      </c>
      <c r="D745" s="1">
        <v>42456.862500000003</v>
      </c>
      <c r="E745" t="s">
        <v>67</v>
      </c>
      <c r="F745" t="s">
        <v>193</v>
      </c>
      <c r="G745">
        <v>-122.33825</v>
      </c>
      <c r="H745">
        <v>47.610244999999999</v>
      </c>
      <c r="I745" t="s">
        <v>774</v>
      </c>
      <c r="J745">
        <f t="shared" si="11"/>
        <v>1</v>
      </c>
      <c r="K745">
        <v>1</v>
      </c>
    </row>
    <row r="746" spans="1:11" x14ac:dyDescent="0.25">
      <c r="A746">
        <v>1703076</v>
      </c>
      <c r="B746">
        <v>281</v>
      </c>
      <c r="C746" t="s">
        <v>26</v>
      </c>
      <c r="D746" s="1">
        <v>42456.855555555558</v>
      </c>
      <c r="E746" t="s">
        <v>145</v>
      </c>
      <c r="F746" t="s">
        <v>146</v>
      </c>
      <c r="G746">
        <v>-122.343254</v>
      </c>
      <c r="H746">
        <v>47.69708</v>
      </c>
      <c r="I746" t="s">
        <v>775</v>
      </c>
      <c r="J746">
        <f t="shared" si="11"/>
        <v>1</v>
      </c>
      <c r="K746">
        <v>3</v>
      </c>
    </row>
    <row r="747" spans="1:11" x14ac:dyDescent="0.25">
      <c r="A747">
        <v>1703077</v>
      </c>
      <c r="B747">
        <v>430</v>
      </c>
      <c r="C747" t="s">
        <v>70</v>
      </c>
      <c r="D747" s="1">
        <v>42456.85833333333</v>
      </c>
      <c r="E747" t="s">
        <v>78</v>
      </c>
      <c r="F747" t="s">
        <v>113</v>
      </c>
      <c r="G747">
        <v>-122.35342</v>
      </c>
      <c r="H747">
        <v>47.652003999999998</v>
      </c>
      <c r="I747" t="s">
        <v>776</v>
      </c>
      <c r="J747">
        <f t="shared" si="11"/>
        <v>1</v>
      </c>
      <c r="K747">
        <v>1</v>
      </c>
    </row>
    <row r="748" spans="1:11" x14ac:dyDescent="0.25">
      <c r="A748">
        <v>1703078</v>
      </c>
      <c r="B748">
        <v>161</v>
      </c>
      <c r="C748" t="s">
        <v>35</v>
      </c>
      <c r="D748" s="1">
        <v>42456.854861111111</v>
      </c>
      <c r="E748" t="s">
        <v>67</v>
      </c>
      <c r="F748" t="s">
        <v>68</v>
      </c>
      <c r="G748">
        <v>-122.33732000000001</v>
      </c>
      <c r="H748">
        <v>47.611319999999999</v>
      </c>
      <c r="I748" t="s">
        <v>223</v>
      </c>
      <c r="J748">
        <f t="shared" si="11"/>
        <v>7</v>
      </c>
      <c r="K748">
        <v>2</v>
      </c>
    </row>
    <row r="749" spans="1:11" x14ac:dyDescent="0.25">
      <c r="A749">
        <v>1703080</v>
      </c>
      <c r="B749">
        <v>177</v>
      </c>
      <c r="C749" t="s">
        <v>61</v>
      </c>
      <c r="D749" s="1">
        <v>42456.868055555555</v>
      </c>
      <c r="E749" t="s">
        <v>11</v>
      </c>
      <c r="F749" t="s">
        <v>245</v>
      </c>
      <c r="G749">
        <v>-122.313805</v>
      </c>
      <c r="H749">
        <v>47.581012999999999</v>
      </c>
      <c r="I749" t="s">
        <v>284</v>
      </c>
      <c r="J749">
        <f t="shared" si="11"/>
        <v>3</v>
      </c>
      <c r="K749">
        <v>2</v>
      </c>
    </row>
    <row r="750" spans="1:11" x14ac:dyDescent="0.25">
      <c r="A750">
        <v>1703081</v>
      </c>
      <c r="B750">
        <v>460</v>
      </c>
      <c r="C750" t="s">
        <v>18</v>
      </c>
      <c r="D750" s="1">
        <v>42456.861805555556</v>
      </c>
      <c r="E750" t="s">
        <v>40</v>
      </c>
      <c r="F750" t="s">
        <v>115</v>
      </c>
      <c r="G750">
        <v>-122.30737000000001</v>
      </c>
      <c r="H750">
        <v>47.619</v>
      </c>
      <c r="I750" t="s">
        <v>777</v>
      </c>
      <c r="J750">
        <f t="shared" si="11"/>
        <v>1</v>
      </c>
      <c r="K750">
        <v>3</v>
      </c>
    </row>
    <row r="751" spans="1:11" x14ac:dyDescent="0.25">
      <c r="A751">
        <v>1703082</v>
      </c>
      <c r="B751">
        <v>280</v>
      </c>
      <c r="C751" t="s">
        <v>22</v>
      </c>
      <c r="D751" s="1">
        <v>42456.866666666669</v>
      </c>
      <c r="E751" t="s">
        <v>145</v>
      </c>
      <c r="F751" t="s">
        <v>314</v>
      </c>
      <c r="G751">
        <v>-122.35144</v>
      </c>
      <c r="H751">
        <v>47.705979999999997</v>
      </c>
      <c r="I751" t="s">
        <v>778</v>
      </c>
      <c r="J751">
        <f t="shared" si="11"/>
        <v>1</v>
      </c>
      <c r="K751">
        <v>3</v>
      </c>
    </row>
    <row r="752" spans="1:11" x14ac:dyDescent="0.25">
      <c r="A752">
        <v>1703083</v>
      </c>
      <c r="B752">
        <v>245</v>
      </c>
      <c r="C752" t="s">
        <v>32</v>
      </c>
      <c r="D752" s="1">
        <v>42456.866666666669</v>
      </c>
      <c r="E752" t="s">
        <v>47</v>
      </c>
      <c r="F752" t="s">
        <v>48</v>
      </c>
      <c r="G752">
        <v>-122.31478</v>
      </c>
      <c r="H752">
        <v>47.611553000000001</v>
      </c>
      <c r="I752" t="s">
        <v>779</v>
      </c>
      <c r="J752">
        <f t="shared" si="11"/>
        <v>1</v>
      </c>
      <c r="K752">
        <v>3</v>
      </c>
    </row>
    <row r="753" spans="1:11" x14ac:dyDescent="0.25">
      <c r="A753">
        <v>1703085</v>
      </c>
      <c r="B753">
        <v>460</v>
      </c>
      <c r="C753" t="s">
        <v>18</v>
      </c>
      <c r="D753" s="1">
        <v>42456.87222222222</v>
      </c>
      <c r="E753" t="s">
        <v>15</v>
      </c>
      <c r="F753" t="s">
        <v>92</v>
      </c>
      <c r="G753">
        <v>-122.31677999999999</v>
      </c>
      <c r="H753">
        <v>47.606200000000001</v>
      </c>
      <c r="I753" t="s">
        <v>780</v>
      </c>
      <c r="J753">
        <f t="shared" si="11"/>
        <v>2</v>
      </c>
      <c r="K753">
        <v>4</v>
      </c>
    </row>
    <row r="754" spans="1:11" x14ac:dyDescent="0.25">
      <c r="A754">
        <v>1703086</v>
      </c>
      <c r="B754">
        <v>280</v>
      </c>
      <c r="C754" t="s">
        <v>22</v>
      </c>
      <c r="D754" s="1">
        <v>42456.870833333334</v>
      </c>
      <c r="E754" t="s">
        <v>29</v>
      </c>
      <c r="F754" t="s">
        <v>55</v>
      </c>
      <c r="G754">
        <v>-122.27809000000001</v>
      </c>
      <c r="H754">
        <v>47.530630000000002</v>
      </c>
      <c r="I754" t="s">
        <v>623</v>
      </c>
      <c r="J754">
        <f t="shared" si="11"/>
        <v>3</v>
      </c>
      <c r="K754">
        <v>4</v>
      </c>
    </row>
    <row r="755" spans="1:11" x14ac:dyDescent="0.25">
      <c r="A755">
        <v>1703087</v>
      </c>
      <c r="B755">
        <v>281</v>
      </c>
      <c r="C755" t="s">
        <v>26</v>
      </c>
      <c r="D755" s="1">
        <v>42456.869444444441</v>
      </c>
      <c r="E755" t="s">
        <v>78</v>
      </c>
      <c r="F755" t="s">
        <v>85</v>
      </c>
      <c r="G755">
        <v>-122.34064499999999</v>
      </c>
      <c r="H755">
        <v>47.663223000000002</v>
      </c>
      <c r="I755" t="s">
        <v>781</v>
      </c>
      <c r="J755">
        <f t="shared" si="11"/>
        <v>1</v>
      </c>
      <c r="K755">
        <v>1</v>
      </c>
    </row>
    <row r="756" spans="1:11" x14ac:dyDescent="0.25">
      <c r="A756">
        <v>1703088</v>
      </c>
      <c r="B756">
        <v>460</v>
      </c>
      <c r="C756" t="s">
        <v>18</v>
      </c>
      <c r="D756" s="1">
        <v>42456.871527777781</v>
      </c>
      <c r="E756" t="s">
        <v>11</v>
      </c>
      <c r="F756" t="s">
        <v>245</v>
      </c>
      <c r="G756">
        <v>-122.31728</v>
      </c>
      <c r="H756">
        <v>47.58999</v>
      </c>
      <c r="I756" t="s">
        <v>782</v>
      </c>
      <c r="J756">
        <f t="shared" si="11"/>
        <v>1</v>
      </c>
      <c r="K756">
        <v>3</v>
      </c>
    </row>
    <row r="757" spans="1:11" x14ac:dyDescent="0.25">
      <c r="A757">
        <v>1703089</v>
      </c>
      <c r="B757">
        <v>470</v>
      </c>
      <c r="C757" t="s">
        <v>14</v>
      </c>
      <c r="D757" s="1">
        <v>42456.876388888886</v>
      </c>
      <c r="E757" t="s">
        <v>145</v>
      </c>
      <c r="F757" t="s">
        <v>146</v>
      </c>
      <c r="G757">
        <v>-122.341324</v>
      </c>
      <c r="H757">
        <v>47.693263999999999</v>
      </c>
      <c r="I757" t="s">
        <v>783</v>
      </c>
      <c r="J757">
        <f t="shared" si="11"/>
        <v>1</v>
      </c>
      <c r="K757">
        <v>3</v>
      </c>
    </row>
    <row r="758" spans="1:11" x14ac:dyDescent="0.25">
      <c r="A758">
        <v>1703090</v>
      </c>
      <c r="B758">
        <v>470</v>
      </c>
      <c r="C758" t="s">
        <v>14</v>
      </c>
      <c r="D758" s="1">
        <v>42456.893055555556</v>
      </c>
      <c r="E758" t="s">
        <v>47</v>
      </c>
      <c r="F758" t="s">
        <v>90</v>
      </c>
      <c r="G758">
        <v>-122.32091</v>
      </c>
      <c r="H758">
        <v>47.621986</v>
      </c>
      <c r="I758" t="s">
        <v>737</v>
      </c>
      <c r="J758">
        <f t="shared" si="11"/>
        <v>2</v>
      </c>
      <c r="K758">
        <v>2</v>
      </c>
    </row>
    <row r="759" spans="1:11" x14ac:dyDescent="0.25">
      <c r="A759">
        <v>1703091</v>
      </c>
      <c r="B759">
        <v>177</v>
      </c>
      <c r="C759" t="s">
        <v>61</v>
      </c>
      <c r="D759" s="1">
        <v>42456.879166666666</v>
      </c>
      <c r="E759" t="s">
        <v>43</v>
      </c>
      <c r="F759" t="s">
        <v>44</v>
      </c>
      <c r="G759">
        <v>-122.33081</v>
      </c>
      <c r="H759">
        <v>47.600464000000002</v>
      </c>
      <c r="I759" t="s">
        <v>45</v>
      </c>
      <c r="J759">
        <f t="shared" si="11"/>
        <v>17</v>
      </c>
      <c r="K759">
        <v>2</v>
      </c>
    </row>
    <row r="760" spans="1:11" x14ac:dyDescent="0.25">
      <c r="A760">
        <v>1703092</v>
      </c>
      <c r="B760">
        <v>460</v>
      </c>
      <c r="C760" t="s">
        <v>18</v>
      </c>
      <c r="D760" s="1">
        <v>42456.894444444442</v>
      </c>
      <c r="E760" t="s">
        <v>47</v>
      </c>
      <c r="F760" t="s">
        <v>177</v>
      </c>
      <c r="G760">
        <v>-122.32403600000001</v>
      </c>
      <c r="H760">
        <v>47.609802000000002</v>
      </c>
      <c r="I760" t="s">
        <v>784</v>
      </c>
      <c r="J760">
        <f t="shared" si="11"/>
        <v>1</v>
      </c>
      <c r="K760">
        <v>1</v>
      </c>
    </row>
    <row r="761" spans="1:11" x14ac:dyDescent="0.25">
      <c r="A761">
        <v>1703093</v>
      </c>
      <c r="B761">
        <v>450</v>
      </c>
      <c r="C761" t="s">
        <v>266</v>
      </c>
      <c r="D761" s="1">
        <v>42456.884027777778</v>
      </c>
      <c r="E761" t="s">
        <v>52</v>
      </c>
      <c r="F761" t="s">
        <v>120</v>
      </c>
      <c r="G761">
        <v>-122.37411</v>
      </c>
      <c r="H761">
        <v>47.692436000000001</v>
      </c>
      <c r="I761" t="s">
        <v>785</v>
      </c>
      <c r="J761">
        <f t="shared" si="11"/>
        <v>1</v>
      </c>
      <c r="K761">
        <v>1</v>
      </c>
    </row>
    <row r="762" spans="1:11" x14ac:dyDescent="0.25">
      <c r="A762">
        <v>1703094</v>
      </c>
      <c r="B762">
        <v>245</v>
      </c>
      <c r="C762" t="s">
        <v>32</v>
      </c>
      <c r="D762" s="1">
        <v>42456.895138888889</v>
      </c>
      <c r="E762" t="s">
        <v>81</v>
      </c>
      <c r="F762" t="s">
        <v>154</v>
      </c>
      <c r="G762">
        <v>-122.333</v>
      </c>
      <c r="H762">
        <v>47.623690000000003</v>
      </c>
      <c r="I762" t="s">
        <v>786</v>
      </c>
      <c r="J762">
        <f t="shared" si="11"/>
        <v>1</v>
      </c>
      <c r="K762">
        <v>1</v>
      </c>
    </row>
    <row r="763" spans="1:11" x14ac:dyDescent="0.25">
      <c r="A763">
        <v>1703095</v>
      </c>
      <c r="B763">
        <v>460</v>
      </c>
      <c r="C763" t="s">
        <v>18</v>
      </c>
      <c r="D763" s="1">
        <v>42456.88958333333</v>
      </c>
      <c r="E763" t="s">
        <v>71</v>
      </c>
      <c r="F763" t="s">
        <v>72</v>
      </c>
      <c r="G763">
        <v>-122.31416</v>
      </c>
      <c r="H763">
        <v>47.606189999999998</v>
      </c>
      <c r="I763" t="s">
        <v>787</v>
      </c>
      <c r="J763">
        <f t="shared" si="11"/>
        <v>1</v>
      </c>
      <c r="K763">
        <v>1</v>
      </c>
    </row>
    <row r="764" spans="1:11" x14ac:dyDescent="0.25">
      <c r="A764">
        <v>1703096</v>
      </c>
      <c r="B764">
        <v>330</v>
      </c>
      <c r="C764" t="s">
        <v>547</v>
      </c>
      <c r="D764" s="1">
        <v>42456.890277777777</v>
      </c>
      <c r="E764" t="s">
        <v>29</v>
      </c>
      <c r="F764" t="s">
        <v>55</v>
      </c>
      <c r="G764">
        <v>-122.27813</v>
      </c>
      <c r="H764">
        <v>47.543785</v>
      </c>
      <c r="I764" t="s">
        <v>788</v>
      </c>
      <c r="J764">
        <f t="shared" si="11"/>
        <v>1</v>
      </c>
      <c r="K764">
        <v>3</v>
      </c>
    </row>
    <row r="765" spans="1:11" x14ac:dyDescent="0.25">
      <c r="A765">
        <v>1703097</v>
      </c>
      <c r="B765">
        <v>372</v>
      </c>
      <c r="C765" t="s">
        <v>84</v>
      </c>
      <c r="D765" s="1">
        <v>42456.890277777777</v>
      </c>
      <c r="E765" t="s">
        <v>23</v>
      </c>
      <c r="F765" t="s">
        <v>24</v>
      </c>
      <c r="G765">
        <v>-122.38597</v>
      </c>
      <c r="H765">
        <v>47.649386999999997</v>
      </c>
      <c r="I765" t="s">
        <v>789</v>
      </c>
      <c r="J765">
        <f t="shared" si="11"/>
        <v>1</v>
      </c>
      <c r="K765">
        <v>4</v>
      </c>
    </row>
    <row r="766" spans="1:11" x14ac:dyDescent="0.25">
      <c r="A766">
        <v>1703098</v>
      </c>
      <c r="B766">
        <v>220</v>
      </c>
      <c r="C766" t="s">
        <v>173</v>
      </c>
      <c r="D766" s="1">
        <v>42456.893055555556</v>
      </c>
      <c r="E766" t="s">
        <v>145</v>
      </c>
      <c r="F766" t="s">
        <v>305</v>
      </c>
      <c r="G766">
        <v>-122.344894</v>
      </c>
      <c r="H766">
        <v>47.717174999999997</v>
      </c>
      <c r="I766" t="s">
        <v>613</v>
      </c>
      <c r="J766">
        <f t="shared" si="11"/>
        <v>3</v>
      </c>
      <c r="K766">
        <v>3</v>
      </c>
    </row>
    <row r="767" spans="1:11" x14ac:dyDescent="0.25">
      <c r="A767">
        <v>1703099</v>
      </c>
      <c r="B767">
        <v>63</v>
      </c>
      <c r="C767" t="s">
        <v>87</v>
      </c>
      <c r="D767" s="1">
        <v>42456.888888888891</v>
      </c>
      <c r="E767" t="s">
        <v>11</v>
      </c>
      <c r="F767" t="s">
        <v>245</v>
      </c>
      <c r="G767">
        <v>-122.31207000000001</v>
      </c>
      <c r="H767">
        <v>47.584114</v>
      </c>
      <c r="I767" t="s">
        <v>790</v>
      </c>
      <c r="J767">
        <f t="shared" si="11"/>
        <v>1</v>
      </c>
      <c r="K767">
        <v>4</v>
      </c>
    </row>
    <row r="768" spans="1:11" x14ac:dyDescent="0.25">
      <c r="A768">
        <v>1703100</v>
      </c>
      <c r="B768">
        <v>177</v>
      </c>
      <c r="C768" t="s">
        <v>61</v>
      </c>
      <c r="D768" s="1">
        <v>42456.901388888888</v>
      </c>
      <c r="E768" t="s">
        <v>71</v>
      </c>
      <c r="F768" t="s">
        <v>126</v>
      </c>
      <c r="G768">
        <v>-122.33081</v>
      </c>
      <c r="H768">
        <v>47.600464000000002</v>
      </c>
      <c r="I768" t="s">
        <v>45</v>
      </c>
      <c r="J768">
        <f t="shared" si="11"/>
        <v>17</v>
      </c>
      <c r="K768">
        <v>1</v>
      </c>
    </row>
    <row r="769" spans="1:11" x14ac:dyDescent="0.25">
      <c r="A769">
        <v>1703101</v>
      </c>
      <c r="B769">
        <v>245</v>
      </c>
      <c r="C769" t="s">
        <v>32</v>
      </c>
      <c r="D769" s="1">
        <v>42456.902777777781</v>
      </c>
      <c r="E769" t="s">
        <v>67</v>
      </c>
      <c r="F769" t="s">
        <v>68</v>
      </c>
      <c r="G769">
        <v>-122.341545</v>
      </c>
      <c r="H769">
        <v>47.612780000000001</v>
      </c>
      <c r="I769" t="s">
        <v>725</v>
      </c>
      <c r="J769">
        <f t="shared" si="11"/>
        <v>3</v>
      </c>
      <c r="K769">
        <v>4</v>
      </c>
    </row>
    <row r="770" spans="1:11" x14ac:dyDescent="0.25">
      <c r="A770">
        <v>1703102</v>
      </c>
      <c r="B770">
        <v>470</v>
      </c>
      <c r="C770" t="s">
        <v>14</v>
      </c>
      <c r="D770" s="1">
        <v>42456.910416666666</v>
      </c>
      <c r="E770" t="s">
        <v>81</v>
      </c>
      <c r="F770" t="s">
        <v>135</v>
      </c>
      <c r="G770">
        <v>-122.34586</v>
      </c>
      <c r="H770">
        <v>47.612990000000003</v>
      </c>
      <c r="I770" t="s">
        <v>313</v>
      </c>
      <c r="J770">
        <f t="shared" ref="J770:J833" si="12">COUNTIF($I$2:$I$1046,I770)</f>
        <v>3</v>
      </c>
      <c r="K770">
        <v>1</v>
      </c>
    </row>
    <row r="771" spans="1:11" x14ac:dyDescent="0.25">
      <c r="A771">
        <v>1703103</v>
      </c>
      <c r="B771">
        <v>280</v>
      </c>
      <c r="C771" t="s">
        <v>22</v>
      </c>
      <c r="D771" s="1">
        <v>42456.908333333333</v>
      </c>
      <c r="E771" t="s">
        <v>11</v>
      </c>
      <c r="F771" t="s">
        <v>245</v>
      </c>
      <c r="G771">
        <v>-122.313515</v>
      </c>
      <c r="H771">
        <v>47.563502999999997</v>
      </c>
      <c r="I771" t="s">
        <v>791</v>
      </c>
      <c r="J771">
        <f t="shared" si="12"/>
        <v>1</v>
      </c>
      <c r="K771">
        <v>2</v>
      </c>
    </row>
    <row r="772" spans="1:11" x14ac:dyDescent="0.25">
      <c r="A772">
        <v>1703104</v>
      </c>
      <c r="B772">
        <v>350</v>
      </c>
      <c r="C772" t="s">
        <v>76</v>
      </c>
      <c r="D772" s="1">
        <v>42456.90347222222</v>
      </c>
      <c r="E772" t="s">
        <v>40</v>
      </c>
      <c r="F772" t="s">
        <v>115</v>
      </c>
      <c r="G772">
        <v>-122.29378</v>
      </c>
      <c r="H772">
        <v>47.625109999999999</v>
      </c>
      <c r="I772" t="s">
        <v>792</v>
      </c>
      <c r="J772">
        <f t="shared" si="12"/>
        <v>1</v>
      </c>
      <c r="K772">
        <v>1</v>
      </c>
    </row>
    <row r="773" spans="1:11" x14ac:dyDescent="0.25">
      <c r="A773">
        <v>1703105</v>
      </c>
      <c r="B773">
        <v>220</v>
      </c>
      <c r="C773" t="s">
        <v>173</v>
      </c>
      <c r="D773" s="1">
        <v>42456.908333333333</v>
      </c>
      <c r="E773" t="s">
        <v>130</v>
      </c>
      <c r="F773" t="s">
        <v>272</v>
      </c>
      <c r="G773">
        <v>-122.30458</v>
      </c>
      <c r="H773">
        <v>47.725673999999998</v>
      </c>
      <c r="I773" t="s">
        <v>793</v>
      </c>
      <c r="J773">
        <f t="shared" si="12"/>
        <v>3</v>
      </c>
      <c r="K773">
        <v>0</v>
      </c>
    </row>
    <row r="774" spans="1:11" x14ac:dyDescent="0.25">
      <c r="A774">
        <v>1703106</v>
      </c>
      <c r="B774">
        <v>470</v>
      </c>
      <c r="C774" t="s">
        <v>14</v>
      </c>
      <c r="D774" s="1">
        <v>42456.910416666666</v>
      </c>
      <c r="E774" t="s">
        <v>81</v>
      </c>
      <c r="F774" t="s">
        <v>135</v>
      </c>
      <c r="G774">
        <v>-122.34650999999999</v>
      </c>
      <c r="H774">
        <v>47.613373000000003</v>
      </c>
      <c r="I774" t="s">
        <v>461</v>
      </c>
      <c r="J774">
        <f t="shared" si="12"/>
        <v>2</v>
      </c>
      <c r="K774">
        <v>1</v>
      </c>
    </row>
    <row r="775" spans="1:11" x14ac:dyDescent="0.25">
      <c r="A775">
        <v>1703107</v>
      </c>
      <c r="B775">
        <v>244</v>
      </c>
      <c r="C775" t="s">
        <v>286</v>
      </c>
      <c r="D775" s="1">
        <v>42456.911111111112</v>
      </c>
      <c r="E775" t="s">
        <v>81</v>
      </c>
      <c r="F775" t="s">
        <v>82</v>
      </c>
      <c r="G775">
        <v>-122.33293999999999</v>
      </c>
      <c r="H775">
        <v>47.615882999999997</v>
      </c>
      <c r="I775" t="s">
        <v>199</v>
      </c>
      <c r="J775">
        <f t="shared" si="12"/>
        <v>2</v>
      </c>
      <c r="K775">
        <v>3</v>
      </c>
    </row>
    <row r="776" spans="1:11" x14ac:dyDescent="0.25">
      <c r="A776">
        <v>1703108</v>
      </c>
      <c r="B776">
        <v>280</v>
      </c>
      <c r="C776" t="s">
        <v>22</v>
      </c>
      <c r="D776" s="1">
        <v>42456.912499999999</v>
      </c>
      <c r="E776" t="s">
        <v>11</v>
      </c>
      <c r="F776" t="s">
        <v>12</v>
      </c>
      <c r="G776">
        <v>-122.26016</v>
      </c>
      <c r="H776">
        <v>47.544285000000002</v>
      </c>
      <c r="I776" t="s">
        <v>794</v>
      </c>
      <c r="J776">
        <f t="shared" si="12"/>
        <v>1</v>
      </c>
      <c r="K776">
        <v>1</v>
      </c>
    </row>
    <row r="777" spans="1:11" x14ac:dyDescent="0.25">
      <c r="A777">
        <v>1703109</v>
      </c>
      <c r="B777">
        <v>63</v>
      </c>
      <c r="C777" t="s">
        <v>87</v>
      </c>
      <c r="D777" s="1">
        <v>42456.913888888892</v>
      </c>
      <c r="E777" t="s">
        <v>43</v>
      </c>
      <c r="F777" t="s">
        <v>44</v>
      </c>
      <c r="G777">
        <v>-122.32245</v>
      </c>
      <c r="H777">
        <v>47.597507</v>
      </c>
      <c r="I777" t="s">
        <v>795</v>
      </c>
      <c r="J777">
        <f t="shared" si="12"/>
        <v>2</v>
      </c>
      <c r="K777">
        <v>3</v>
      </c>
    </row>
    <row r="778" spans="1:11" x14ac:dyDescent="0.25">
      <c r="A778">
        <v>1703110</v>
      </c>
      <c r="B778">
        <v>64</v>
      </c>
      <c r="C778" t="s">
        <v>158</v>
      </c>
      <c r="D778" s="1">
        <v>42456.912499999999</v>
      </c>
      <c r="E778" t="s">
        <v>43</v>
      </c>
      <c r="F778" t="s">
        <v>44</v>
      </c>
      <c r="G778">
        <v>-122.32245</v>
      </c>
      <c r="H778">
        <v>47.597507</v>
      </c>
      <c r="I778" t="s">
        <v>795</v>
      </c>
      <c r="J778">
        <f t="shared" si="12"/>
        <v>2</v>
      </c>
      <c r="K778">
        <v>4</v>
      </c>
    </row>
    <row r="779" spans="1:11" x14ac:dyDescent="0.25">
      <c r="A779">
        <v>1703111</v>
      </c>
      <c r="B779">
        <v>71</v>
      </c>
      <c r="C779" t="s">
        <v>142</v>
      </c>
      <c r="D779" s="1">
        <v>42456.914583333331</v>
      </c>
      <c r="E779" t="s">
        <v>145</v>
      </c>
      <c r="F779" t="s">
        <v>146</v>
      </c>
      <c r="G779">
        <v>-122.34472</v>
      </c>
      <c r="H779">
        <v>47.706707000000002</v>
      </c>
      <c r="I779" t="s">
        <v>796</v>
      </c>
      <c r="J779">
        <f t="shared" si="12"/>
        <v>1</v>
      </c>
      <c r="K779">
        <v>1</v>
      </c>
    </row>
    <row r="780" spans="1:11" x14ac:dyDescent="0.25">
      <c r="A780">
        <v>1703112</v>
      </c>
      <c r="B780">
        <v>52</v>
      </c>
      <c r="C780" t="s">
        <v>57</v>
      </c>
      <c r="D780" s="1">
        <v>42456.912499999999</v>
      </c>
      <c r="E780" t="s">
        <v>29</v>
      </c>
      <c r="F780" t="s">
        <v>156</v>
      </c>
      <c r="G780">
        <v>-122.28609</v>
      </c>
      <c r="H780">
        <v>47.547012000000002</v>
      </c>
      <c r="I780" t="s">
        <v>797</v>
      </c>
      <c r="J780">
        <f t="shared" si="12"/>
        <v>1</v>
      </c>
      <c r="K780">
        <v>2</v>
      </c>
    </row>
    <row r="781" spans="1:11" x14ac:dyDescent="0.25">
      <c r="A781">
        <v>1703113</v>
      </c>
      <c r="B781">
        <v>460</v>
      </c>
      <c r="C781" t="s">
        <v>18</v>
      </c>
      <c r="D781" s="1">
        <v>42456.925694444442</v>
      </c>
      <c r="E781" t="s">
        <v>47</v>
      </c>
      <c r="F781" t="s">
        <v>48</v>
      </c>
      <c r="G781">
        <v>-122.31690999999999</v>
      </c>
      <c r="H781">
        <v>47.618766999999998</v>
      </c>
      <c r="I781" t="s">
        <v>798</v>
      </c>
      <c r="J781">
        <f t="shared" si="12"/>
        <v>1</v>
      </c>
      <c r="K781">
        <v>0</v>
      </c>
    </row>
    <row r="782" spans="1:11" x14ac:dyDescent="0.25">
      <c r="A782">
        <v>1703114</v>
      </c>
      <c r="B782">
        <v>40</v>
      </c>
      <c r="C782" t="s">
        <v>119</v>
      </c>
      <c r="D782" s="1">
        <v>42456.919444444444</v>
      </c>
      <c r="E782" t="s">
        <v>23</v>
      </c>
      <c r="F782" t="s">
        <v>24</v>
      </c>
      <c r="G782">
        <v>-122.37614000000001</v>
      </c>
      <c r="H782">
        <v>47.636336999999997</v>
      </c>
      <c r="I782" t="s">
        <v>243</v>
      </c>
      <c r="J782">
        <f t="shared" si="12"/>
        <v>2</v>
      </c>
      <c r="K782">
        <v>0</v>
      </c>
    </row>
    <row r="783" spans="1:11" x14ac:dyDescent="0.25">
      <c r="A783">
        <v>1703115</v>
      </c>
      <c r="B783">
        <v>203</v>
      </c>
      <c r="C783" t="s">
        <v>161</v>
      </c>
      <c r="D783" s="1">
        <v>42456.948611111111</v>
      </c>
      <c r="E783" t="s">
        <v>11</v>
      </c>
      <c r="F783" t="s">
        <v>12</v>
      </c>
      <c r="G783">
        <v>-122.26295500000001</v>
      </c>
      <c r="H783">
        <v>47.545535999999998</v>
      </c>
      <c r="I783" t="s">
        <v>799</v>
      </c>
      <c r="J783">
        <f t="shared" si="12"/>
        <v>1</v>
      </c>
      <c r="K783">
        <v>2</v>
      </c>
    </row>
    <row r="784" spans="1:11" x14ac:dyDescent="0.25">
      <c r="A784">
        <v>1703116</v>
      </c>
      <c r="B784">
        <v>460</v>
      </c>
      <c r="C784" t="s">
        <v>18</v>
      </c>
      <c r="D784" s="1">
        <v>42456.944444444445</v>
      </c>
      <c r="E784" t="s">
        <v>15</v>
      </c>
      <c r="F784" t="s">
        <v>16</v>
      </c>
      <c r="G784">
        <v>-122.30243</v>
      </c>
      <c r="H784">
        <v>47.604323999999998</v>
      </c>
      <c r="I784" t="s">
        <v>800</v>
      </c>
      <c r="J784">
        <f t="shared" si="12"/>
        <v>1</v>
      </c>
      <c r="K784">
        <v>1</v>
      </c>
    </row>
    <row r="785" spans="1:11" x14ac:dyDescent="0.25">
      <c r="A785">
        <v>1703117</v>
      </c>
      <c r="B785">
        <v>177</v>
      </c>
      <c r="C785" t="s">
        <v>61</v>
      </c>
      <c r="D785" s="1">
        <v>42456.932638888888</v>
      </c>
      <c r="E785" t="s">
        <v>71</v>
      </c>
      <c r="F785" t="s">
        <v>110</v>
      </c>
      <c r="G785">
        <v>-122.34287999999999</v>
      </c>
      <c r="H785">
        <v>47.609814</v>
      </c>
      <c r="I785" t="s">
        <v>236</v>
      </c>
      <c r="J785">
        <f t="shared" si="12"/>
        <v>10</v>
      </c>
      <c r="K785">
        <v>1</v>
      </c>
    </row>
    <row r="786" spans="1:11" x14ac:dyDescent="0.25">
      <c r="A786">
        <v>1703118</v>
      </c>
      <c r="B786">
        <v>177</v>
      </c>
      <c r="C786" t="s">
        <v>61</v>
      </c>
      <c r="D786" s="1">
        <v>42456.930555555555</v>
      </c>
      <c r="E786" t="s">
        <v>71</v>
      </c>
      <c r="F786" t="s">
        <v>72</v>
      </c>
      <c r="G786">
        <v>-122.329025</v>
      </c>
      <c r="H786">
        <v>47.60172</v>
      </c>
      <c r="I786" t="s">
        <v>801</v>
      </c>
      <c r="J786">
        <f t="shared" si="12"/>
        <v>1</v>
      </c>
      <c r="K786">
        <v>1</v>
      </c>
    </row>
    <row r="787" spans="1:11" x14ac:dyDescent="0.25">
      <c r="A787">
        <v>1703119</v>
      </c>
      <c r="B787">
        <v>176</v>
      </c>
      <c r="C787" t="s">
        <v>28</v>
      </c>
      <c r="D787" s="1">
        <v>42456.929166666669</v>
      </c>
      <c r="E787" t="s">
        <v>47</v>
      </c>
      <c r="F787" t="s">
        <v>48</v>
      </c>
      <c r="G787">
        <v>-122.32002</v>
      </c>
      <c r="H787">
        <v>47.61524</v>
      </c>
      <c r="I787" t="s">
        <v>802</v>
      </c>
      <c r="J787">
        <f t="shared" si="12"/>
        <v>1</v>
      </c>
      <c r="K787">
        <v>2</v>
      </c>
    </row>
    <row r="788" spans="1:11" x14ac:dyDescent="0.25">
      <c r="A788">
        <v>1703120</v>
      </c>
      <c r="B788">
        <v>245</v>
      </c>
      <c r="C788" t="s">
        <v>32</v>
      </c>
      <c r="D788" s="1">
        <v>42456.934027777781</v>
      </c>
      <c r="E788" t="s">
        <v>47</v>
      </c>
      <c r="F788" t="s">
        <v>90</v>
      </c>
      <c r="G788">
        <v>-122.32659</v>
      </c>
      <c r="H788">
        <v>47.621980000000001</v>
      </c>
      <c r="I788" t="s">
        <v>803</v>
      </c>
      <c r="J788">
        <f t="shared" si="12"/>
        <v>1</v>
      </c>
      <c r="K788">
        <v>2</v>
      </c>
    </row>
    <row r="789" spans="1:11" x14ac:dyDescent="0.25">
      <c r="A789">
        <v>1703121</v>
      </c>
      <c r="B789">
        <v>160</v>
      </c>
      <c r="C789" t="s">
        <v>504</v>
      </c>
      <c r="D789" s="1">
        <v>42456.934027777781</v>
      </c>
      <c r="E789" t="s">
        <v>104</v>
      </c>
      <c r="F789" t="s">
        <v>181</v>
      </c>
      <c r="G789">
        <v>-122.3565</v>
      </c>
      <c r="H789">
        <v>47.518099999999997</v>
      </c>
      <c r="I789" t="s">
        <v>804</v>
      </c>
      <c r="J789">
        <f t="shared" si="12"/>
        <v>1</v>
      </c>
      <c r="K789">
        <v>2</v>
      </c>
    </row>
    <row r="790" spans="1:11" x14ac:dyDescent="0.25">
      <c r="A790">
        <v>1703122</v>
      </c>
      <c r="B790">
        <v>161</v>
      </c>
      <c r="C790" t="s">
        <v>35</v>
      </c>
      <c r="D790" s="1">
        <v>42456.927777777775</v>
      </c>
      <c r="E790" t="s">
        <v>47</v>
      </c>
      <c r="F790" t="s">
        <v>90</v>
      </c>
      <c r="G790">
        <v>-122.32088</v>
      </c>
      <c r="H790">
        <v>47.619903999999998</v>
      </c>
      <c r="I790" t="s">
        <v>91</v>
      </c>
      <c r="J790">
        <f t="shared" si="12"/>
        <v>3</v>
      </c>
      <c r="K790">
        <v>1</v>
      </c>
    </row>
    <row r="791" spans="1:11" x14ac:dyDescent="0.25">
      <c r="A791">
        <v>1703123</v>
      </c>
      <c r="B791">
        <v>280</v>
      </c>
      <c r="C791" t="s">
        <v>22</v>
      </c>
      <c r="D791" s="1">
        <v>42456.9375</v>
      </c>
      <c r="E791" t="s">
        <v>40</v>
      </c>
      <c r="F791" t="s">
        <v>151</v>
      </c>
      <c r="G791">
        <v>-122.309494</v>
      </c>
      <c r="H791">
        <v>47.615864000000002</v>
      </c>
      <c r="I791" t="s">
        <v>345</v>
      </c>
      <c r="J791">
        <f t="shared" si="12"/>
        <v>5</v>
      </c>
      <c r="K791">
        <v>1</v>
      </c>
    </row>
    <row r="792" spans="1:11" x14ac:dyDescent="0.25">
      <c r="A792">
        <v>1703124</v>
      </c>
      <c r="B792">
        <v>161</v>
      </c>
      <c r="C792" t="s">
        <v>35</v>
      </c>
      <c r="D792" s="1">
        <v>42456.924305555556</v>
      </c>
      <c r="E792" t="s">
        <v>130</v>
      </c>
      <c r="F792" t="s">
        <v>290</v>
      </c>
      <c r="G792">
        <v>-122.32461499999999</v>
      </c>
      <c r="H792">
        <v>47.708602999999997</v>
      </c>
      <c r="I792" t="s">
        <v>805</v>
      </c>
      <c r="J792">
        <f t="shared" si="12"/>
        <v>1</v>
      </c>
      <c r="K792">
        <v>0</v>
      </c>
    </row>
    <row r="793" spans="1:11" x14ac:dyDescent="0.25">
      <c r="A793">
        <v>1703125</v>
      </c>
      <c r="B793">
        <v>71</v>
      </c>
      <c r="C793" t="s">
        <v>142</v>
      </c>
      <c r="D793" s="1">
        <v>42456.9375</v>
      </c>
      <c r="E793" t="s">
        <v>29</v>
      </c>
      <c r="F793" t="s">
        <v>30</v>
      </c>
      <c r="G793">
        <v>-122.24912</v>
      </c>
      <c r="H793">
        <v>47.507297999999999</v>
      </c>
      <c r="I793" t="s">
        <v>806</v>
      </c>
      <c r="J793">
        <f t="shared" si="12"/>
        <v>1</v>
      </c>
      <c r="K793">
        <v>2</v>
      </c>
    </row>
    <row r="794" spans="1:11" x14ac:dyDescent="0.25">
      <c r="A794">
        <v>1703126</v>
      </c>
      <c r="B794">
        <v>430</v>
      </c>
      <c r="C794" t="s">
        <v>70</v>
      </c>
      <c r="D794" s="1">
        <v>42456.924305555556</v>
      </c>
      <c r="E794" t="s">
        <v>11</v>
      </c>
      <c r="F794" t="s">
        <v>12</v>
      </c>
      <c r="G794">
        <v>-122.25927</v>
      </c>
      <c r="H794">
        <v>47.548659999999998</v>
      </c>
      <c r="I794" t="s">
        <v>807</v>
      </c>
      <c r="J794">
        <f t="shared" si="12"/>
        <v>1</v>
      </c>
      <c r="K794">
        <v>3</v>
      </c>
    </row>
    <row r="795" spans="1:11" x14ac:dyDescent="0.25">
      <c r="A795">
        <v>1703127</v>
      </c>
      <c r="B795">
        <v>177</v>
      </c>
      <c r="C795" t="s">
        <v>61</v>
      </c>
      <c r="D795" s="1">
        <v>42456.947916666664</v>
      </c>
      <c r="E795" t="s">
        <v>67</v>
      </c>
      <c r="F795" t="s">
        <v>100</v>
      </c>
      <c r="G795">
        <v>-122.34287999999999</v>
      </c>
      <c r="H795">
        <v>47.609814</v>
      </c>
      <c r="I795" t="s">
        <v>236</v>
      </c>
      <c r="J795">
        <f t="shared" si="12"/>
        <v>10</v>
      </c>
      <c r="K795">
        <v>2</v>
      </c>
    </row>
    <row r="796" spans="1:11" x14ac:dyDescent="0.25">
      <c r="A796">
        <v>1703128</v>
      </c>
      <c r="B796">
        <v>177</v>
      </c>
      <c r="C796" t="s">
        <v>61</v>
      </c>
      <c r="D796" s="1">
        <v>42456.946527777778</v>
      </c>
      <c r="E796" t="s">
        <v>15</v>
      </c>
      <c r="F796" t="s">
        <v>390</v>
      </c>
      <c r="G796">
        <v>-122.31723</v>
      </c>
      <c r="H796">
        <v>47.597079999999998</v>
      </c>
      <c r="I796" t="s">
        <v>808</v>
      </c>
      <c r="J796">
        <f t="shared" si="12"/>
        <v>1</v>
      </c>
      <c r="K796">
        <v>3</v>
      </c>
    </row>
    <row r="797" spans="1:11" x14ac:dyDescent="0.25">
      <c r="A797">
        <v>1703129</v>
      </c>
      <c r="B797">
        <v>245</v>
      </c>
      <c r="C797" t="s">
        <v>32</v>
      </c>
      <c r="D797" s="1">
        <v>42456.948611111111</v>
      </c>
      <c r="E797" t="s">
        <v>67</v>
      </c>
      <c r="F797" t="s">
        <v>68</v>
      </c>
      <c r="G797">
        <v>-122.33759000000001</v>
      </c>
      <c r="H797">
        <v>47.611206000000003</v>
      </c>
      <c r="I797" t="s">
        <v>196</v>
      </c>
      <c r="J797">
        <f t="shared" si="12"/>
        <v>5</v>
      </c>
      <c r="K797">
        <v>3</v>
      </c>
    </row>
    <row r="798" spans="1:11" x14ac:dyDescent="0.25">
      <c r="A798">
        <v>1703130</v>
      </c>
      <c r="B798">
        <v>200</v>
      </c>
      <c r="C798" t="s">
        <v>187</v>
      </c>
      <c r="D798" s="1">
        <v>42456.952777777777</v>
      </c>
      <c r="E798" t="s">
        <v>71</v>
      </c>
      <c r="F798" t="s">
        <v>72</v>
      </c>
      <c r="G798">
        <v>-122.38759</v>
      </c>
      <c r="H798">
        <v>47.669823000000001</v>
      </c>
      <c r="I798" t="s">
        <v>809</v>
      </c>
      <c r="J798">
        <f t="shared" si="12"/>
        <v>1</v>
      </c>
      <c r="K798">
        <v>1</v>
      </c>
    </row>
    <row r="799" spans="1:11" x14ac:dyDescent="0.25">
      <c r="A799">
        <v>1703131</v>
      </c>
      <c r="B799">
        <v>200</v>
      </c>
      <c r="C799" t="s">
        <v>187</v>
      </c>
      <c r="D799" s="1">
        <v>42456.946527777778</v>
      </c>
      <c r="E799" t="s">
        <v>81</v>
      </c>
      <c r="F799" t="s">
        <v>82</v>
      </c>
      <c r="G799">
        <v>-122.34237</v>
      </c>
      <c r="H799">
        <v>47.622639999999997</v>
      </c>
      <c r="I799" t="s">
        <v>810</v>
      </c>
      <c r="J799">
        <f t="shared" si="12"/>
        <v>1</v>
      </c>
      <c r="K799">
        <v>2</v>
      </c>
    </row>
    <row r="800" spans="1:11" x14ac:dyDescent="0.25">
      <c r="A800">
        <v>1703132</v>
      </c>
      <c r="B800">
        <v>200</v>
      </c>
      <c r="C800" t="s">
        <v>187</v>
      </c>
      <c r="D800" s="1">
        <v>42456.945138888892</v>
      </c>
      <c r="E800" t="s">
        <v>81</v>
      </c>
      <c r="F800" t="s">
        <v>154</v>
      </c>
      <c r="G800">
        <v>-122.3254</v>
      </c>
      <c r="H800">
        <v>47.635370000000002</v>
      </c>
      <c r="I800" t="s">
        <v>811</v>
      </c>
      <c r="J800">
        <f t="shared" si="12"/>
        <v>1</v>
      </c>
      <c r="K800">
        <v>1</v>
      </c>
    </row>
    <row r="801" spans="1:11" x14ac:dyDescent="0.25">
      <c r="A801">
        <v>1703133</v>
      </c>
      <c r="B801">
        <v>281</v>
      </c>
      <c r="C801" t="s">
        <v>26</v>
      </c>
      <c r="D801" s="1">
        <v>42456.953472222223</v>
      </c>
      <c r="E801" t="s">
        <v>78</v>
      </c>
      <c r="F801" t="s">
        <v>85</v>
      </c>
      <c r="G801">
        <v>-122.34093</v>
      </c>
      <c r="H801">
        <v>47.663933</v>
      </c>
      <c r="I801" t="s">
        <v>812</v>
      </c>
      <c r="J801">
        <f t="shared" si="12"/>
        <v>1</v>
      </c>
      <c r="K801">
        <v>3</v>
      </c>
    </row>
    <row r="802" spans="1:11" x14ac:dyDescent="0.25">
      <c r="A802">
        <v>1703134</v>
      </c>
      <c r="B802">
        <v>281</v>
      </c>
      <c r="C802" t="s">
        <v>26</v>
      </c>
      <c r="D802" s="1">
        <v>42456.961805555555</v>
      </c>
      <c r="E802" t="s">
        <v>78</v>
      </c>
      <c r="F802" t="s">
        <v>85</v>
      </c>
      <c r="G802">
        <v>-122.34213</v>
      </c>
      <c r="H802">
        <v>47.661754999999999</v>
      </c>
      <c r="I802" t="s">
        <v>813</v>
      </c>
      <c r="J802">
        <f t="shared" si="12"/>
        <v>2</v>
      </c>
      <c r="K802">
        <v>4</v>
      </c>
    </row>
    <row r="803" spans="1:11" x14ac:dyDescent="0.25">
      <c r="A803">
        <v>1703135</v>
      </c>
      <c r="B803">
        <v>282</v>
      </c>
      <c r="C803" t="s">
        <v>486</v>
      </c>
      <c r="D803" s="1">
        <v>42456.955555555556</v>
      </c>
      <c r="E803" t="s">
        <v>104</v>
      </c>
      <c r="F803" t="s">
        <v>181</v>
      </c>
      <c r="G803">
        <v>-122.359146</v>
      </c>
      <c r="H803">
        <v>47.522334999999998</v>
      </c>
      <c r="I803" t="s">
        <v>814</v>
      </c>
      <c r="J803">
        <f t="shared" si="12"/>
        <v>1</v>
      </c>
      <c r="K803">
        <v>2</v>
      </c>
    </row>
    <row r="804" spans="1:11" x14ac:dyDescent="0.25">
      <c r="A804">
        <v>1703136</v>
      </c>
      <c r="B804">
        <v>430</v>
      </c>
      <c r="C804" t="s">
        <v>70</v>
      </c>
      <c r="D804" s="1">
        <v>42456.942361111112</v>
      </c>
      <c r="E804" t="s">
        <v>23</v>
      </c>
      <c r="F804" t="s">
        <v>88</v>
      </c>
      <c r="G804">
        <v>-122.34631</v>
      </c>
      <c r="H804">
        <v>47.618564999999997</v>
      </c>
      <c r="I804" t="s">
        <v>815</v>
      </c>
      <c r="J804">
        <f t="shared" si="12"/>
        <v>1</v>
      </c>
      <c r="K804">
        <v>0</v>
      </c>
    </row>
    <row r="805" spans="1:11" x14ac:dyDescent="0.25">
      <c r="A805">
        <v>1703137</v>
      </c>
      <c r="B805">
        <v>460</v>
      </c>
      <c r="C805" t="s">
        <v>18</v>
      </c>
      <c r="D805" s="1">
        <v>42456.972916666666</v>
      </c>
      <c r="E805" t="s">
        <v>40</v>
      </c>
      <c r="F805" t="s">
        <v>151</v>
      </c>
      <c r="G805">
        <v>-122.29612</v>
      </c>
      <c r="H805">
        <v>47.618899999999996</v>
      </c>
      <c r="I805" t="s">
        <v>816</v>
      </c>
      <c r="J805">
        <f t="shared" si="12"/>
        <v>1</v>
      </c>
      <c r="K805">
        <v>3</v>
      </c>
    </row>
    <row r="806" spans="1:11" x14ac:dyDescent="0.25">
      <c r="A806">
        <v>1703138</v>
      </c>
      <c r="B806">
        <v>280</v>
      </c>
      <c r="C806" t="s">
        <v>22</v>
      </c>
      <c r="D806" s="1">
        <v>42456.96875</v>
      </c>
      <c r="E806" t="s">
        <v>40</v>
      </c>
      <c r="F806" t="s">
        <v>115</v>
      </c>
      <c r="G806">
        <v>-122.309494</v>
      </c>
      <c r="H806">
        <v>47.615864000000002</v>
      </c>
      <c r="I806" t="s">
        <v>345</v>
      </c>
      <c r="J806">
        <f t="shared" si="12"/>
        <v>5</v>
      </c>
      <c r="K806">
        <v>0</v>
      </c>
    </row>
    <row r="807" spans="1:11" x14ac:dyDescent="0.25">
      <c r="A807">
        <v>1703139</v>
      </c>
      <c r="B807">
        <v>245</v>
      </c>
      <c r="C807" t="s">
        <v>32</v>
      </c>
      <c r="D807" s="1">
        <v>42456.970138888886</v>
      </c>
      <c r="E807" t="s">
        <v>95</v>
      </c>
      <c r="F807" t="s">
        <v>98</v>
      </c>
      <c r="G807">
        <v>-122.31653</v>
      </c>
      <c r="H807">
        <v>47.662205</v>
      </c>
      <c r="I807" t="s">
        <v>817</v>
      </c>
      <c r="J807">
        <f t="shared" si="12"/>
        <v>1</v>
      </c>
      <c r="K807">
        <v>0</v>
      </c>
    </row>
    <row r="808" spans="1:11" x14ac:dyDescent="0.25">
      <c r="A808">
        <v>1703140</v>
      </c>
      <c r="B808">
        <v>281</v>
      </c>
      <c r="C808" t="s">
        <v>26</v>
      </c>
      <c r="D808" s="1">
        <v>42456.973611111112</v>
      </c>
      <c r="E808" t="s">
        <v>130</v>
      </c>
      <c r="F808" t="s">
        <v>272</v>
      </c>
      <c r="G808">
        <v>-122.30458</v>
      </c>
      <c r="H808">
        <v>47.723866000000001</v>
      </c>
      <c r="I808" t="s">
        <v>718</v>
      </c>
      <c r="J808">
        <f t="shared" si="12"/>
        <v>2</v>
      </c>
      <c r="K808">
        <v>2</v>
      </c>
    </row>
    <row r="809" spans="1:11" x14ac:dyDescent="0.25">
      <c r="A809">
        <v>1703141</v>
      </c>
      <c r="B809">
        <v>62</v>
      </c>
      <c r="C809" t="s">
        <v>322</v>
      </c>
      <c r="D809" s="1">
        <v>42456.969444444447</v>
      </c>
      <c r="E809" t="s">
        <v>130</v>
      </c>
      <c r="F809" t="s">
        <v>290</v>
      </c>
      <c r="G809">
        <v>-122.32711</v>
      </c>
      <c r="H809">
        <v>47.697723000000003</v>
      </c>
      <c r="I809" t="s">
        <v>818</v>
      </c>
      <c r="J809">
        <f t="shared" si="12"/>
        <v>1</v>
      </c>
      <c r="K809">
        <v>3</v>
      </c>
    </row>
    <row r="810" spans="1:11" x14ac:dyDescent="0.25">
      <c r="A810">
        <v>1703142</v>
      </c>
      <c r="B810">
        <v>450</v>
      </c>
      <c r="C810" t="s">
        <v>266</v>
      </c>
      <c r="D810" s="1">
        <v>42456.963194444441</v>
      </c>
      <c r="E810" t="s">
        <v>64</v>
      </c>
      <c r="F810" t="s">
        <v>215</v>
      </c>
      <c r="G810">
        <v>-122.38805000000001</v>
      </c>
      <c r="H810">
        <v>47.574738000000004</v>
      </c>
      <c r="I810" t="s">
        <v>694</v>
      </c>
      <c r="J810">
        <f t="shared" si="12"/>
        <v>2</v>
      </c>
      <c r="K810">
        <v>3</v>
      </c>
    </row>
    <row r="811" spans="1:11" x14ac:dyDescent="0.25">
      <c r="A811">
        <v>1703143</v>
      </c>
      <c r="B811">
        <v>280</v>
      </c>
      <c r="C811" t="s">
        <v>22</v>
      </c>
      <c r="D811" s="1">
        <v>42456.968055555553</v>
      </c>
      <c r="E811" t="s">
        <v>145</v>
      </c>
      <c r="F811" t="s">
        <v>146</v>
      </c>
      <c r="G811">
        <v>-122.33266</v>
      </c>
      <c r="H811">
        <v>47.708655999999998</v>
      </c>
      <c r="I811" t="s">
        <v>147</v>
      </c>
      <c r="J811">
        <f t="shared" si="12"/>
        <v>2</v>
      </c>
      <c r="K811">
        <v>3</v>
      </c>
    </row>
    <row r="812" spans="1:11" x14ac:dyDescent="0.25">
      <c r="A812">
        <v>1703144</v>
      </c>
      <c r="B812">
        <v>450</v>
      </c>
      <c r="C812" t="s">
        <v>266</v>
      </c>
      <c r="D812" s="1">
        <v>42456.965277777781</v>
      </c>
      <c r="E812" t="s">
        <v>43</v>
      </c>
      <c r="F812" t="s">
        <v>218</v>
      </c>
      <c r="G812">
        <v>-122.335396</v>
      </c>
      <c r="H812">
        <v>47.596469999999997</v>
      </c>
      <c r="I812" t="s">
        <v>819</v>
      </c>
      <c r="J812">
        <f t="shared" si="12"/>
        <v>1</v>
      </c>
      <c r="K812">
        <v>3</v>
      </c>
    </row>
    <row r="813" spans="1:11" x14ac:dyDescent="0.25">
      <c r="A813">
        <v>1703145</v>
      </c>
      <c r="B813">
        <v>281</v>
      </c>
      <c r="C813" t="s">
        <v>26</v>
      </c>
      <c r="D813" s="1">
        <v>42456.986111111109</v>
      </c>
      <c r="E813" t="s">
        <v>11</v>
      </c>
      <c r="F813" t="s">
        <v>245</v>
      </c>
      <c r="G813">
        <v>-122.31728</v>
      </c>
      <c r="H813">
        <v>47.592686</v>
      </c>
      <c r="I813" t="s">
        <v>403</v>
      </c>
      <c r="J813">
        <f t="shared" si="12"/>
        <v>2</v>
      </c>
      <c r="K813">
        <v>2</v>
      </c>
    </row>
    <row r="814" spans="1:11" x14ac:dyDescent="0.25">
      <c r="A814">
        <v>1703146</v>
      </c>
      <c r="B814">
        <v>245</v>
      </c>
      <c r="C814" t="s">
        <v>32</v>
      </c>
      <c r="D814" s="1">
        <v>42456.98541666667</v>
      </c>
      <c r="E814" t="s">
        <v>52</v>
      </c>
      <c r="F814" t="s">
        <v>120</v>
      </c>
      <c r="G814">
        <v>-122.35533</v>
      </c>
      <c r="H814">
        <v>47.693317</v>
      </c>
      <c r="I814" t="s">
        <v>820</v>
      </c>
      <c r="J814">
        <f t="shared" si="12"/>
        <v>1</v>
      </c>
      <c r="K814">
        <v>3</v>
      </c>
    </row>
    <row r="815" spans="1:11" x14ac:dyDescent="0.25">
      <c r="A815">
        <v>1703147</v>
      </c>
      <c r="B815">
        <v>280</v>
      </c>
      <c r="C815" t="s">
        <v>22</v>
      </c>
      <c r="D815" s="1">
        <v>42456.978472222225</v>
      </c>
      <c r="E815" t="s">
        <v>78</v>
      </c>
      <c r="F815" t="s">
        <v>79</v>
      </c>
      <c r="G815">
        <v>-122.38475</v>
      </c>
      <c r="H815">
        <v>47.668680000000002</v>
      </c>
      <c r="I815" t="s">
        <v>821</v>
      </c>
      <c r="J815">
        <f t="shared" si="12"/>
        <v>1</v>
      </c>
      <c r="K815">
        <v>1</v>
      </c>
    </row>
    <row r="816" spans="1:11" x14ac:dyDescent="0.25">
      <c r="A816">
        <v>1703148</v>
      </c>
      <c r="B816">
        <v>280</v>
      </c>
      <c r="C816" t="s">
        <v>22</v>
      </c>
      <c r="D816" s="1">
        <v>42456.984027777777</v>
      </c>
      <c r="E816" t="s">
        <v>95</v>
      </c>
      <c r="F816" t="s">
        <v>367</v>
      </c>
      <c r="G816">
        <v>-122.30173499999999</v>
      </c>
      <c r="H816">
        <v>47.663580000000003</v>
      </c>
      <c r="I816" t="s">
        <v>822</v>
      </c>
      <c r="J816">
        <f t="shared" si="12"/>
        <v>1</v>
      </c>
      <c r="K816">
        <v>1</v>
      </c>
    </row>
    <row r="817" spans="1:11" x14ac:dyDescent="0.25">
      <c r="A817">
        <v>1703149</v>
      </c>
      <c r="B817">
        <v>280</v>
      </c>
      <c r="C817" t="s">
        <v>22</v>
      </c>
      <c r="D817" s="1">
        <v>42456.989583333336</v>
      </c>
      <c r="E817" t="s">
        <v>95</v>
      </c>
      <c r="F817" t="s">
        <v>96</v>
      </c>
      <c r="G817">
        <v>-122.26430499999999</v>
      </c>
      <c r="H817">
        <v>47.677320000000002</v>
      </c>
      <c r="I817" t="s">
        <v>823</v>
      </c>
      <c r="J817">
        <f t="shared" si="12"/>
        <v>1</v>
      </c>
      <c r="K817">
        <v>3</v>
      </c>
    </row>
    <row r="818" spans="1:11" x14ac:dyDescent="0.25">
      <c r="A818">
        <v>1703150</v>
      </c>
      <c r="B818">
        <v>244</v>
      </c>
      <c r="C818" t="s">
        <v>286</v>
      </c>
      <c r="D818" s="1">
        <v>42456.988888888889</v>
      </c>
      <c r="E818" t="s">
        <v>29</v>
      </c>
      <c r="F818" t="s">
        <v>55</v>
      </c>
      <c r="G818">
        <v>-122.28207999999999</v>
      </c>
      <c r="H818">
        <v>47.545287999999999</v>
      </c>
      <c r="I818" t="s">
        <v>824</v>
      </c>
      <c r="J818">
        <f t="shared" si="12"/>
        <v>1</v>
      </c>
      <c r="K818">
        <v>3</v>
      </c>
    </row>
    <row r="819" spans="1:11" x14ac:dyDescent="0.25">
      <c r="A819">
        <v>1703151</v>
      </c>
      <c r="B819">
        <v>161</v>
      </c>
      <c r="C819" t="s">
        <v>35</v>
      </c>
      <c r="D819" s="1">
        <v>42456.977083333331</v>
      </c>
      <c r="E819" t="s">
        <v>145</v>
      </c>
      <c r="F819" t="s">
        <v>146</v>
      </c>
      <c r="G819">
        <v>-122.34603</v>
      </c>
      <c r="H819">
        <v>47.704329999999999</v>
      </c>
      <c r="I819" t="s">
        <v>825</v>
      </c>
      <c r="J819">
        <f t="shared" si="12"/>
        <v>1</v>
      </c>
      <c r="K819">
        <v>3</v>
      </c>
    </row>
    <row r="820" spans="1:11" x14ac:dyDescent="0.25">
      <c r="A820">
        <v>1703152</v>
      </c>
      <c r="B820">
        <v>161</v>
      </c>
      <c r="C820" t="s">
        <v>35</v>
      </c>
      <c r="D820" s="1">
        <v>42456.975694444445</v>
      </c>
      <c r="E820" t="s">
        <v>104</v>
      </c>
      <c r="F820" t="s">
        <v>181</v>
      </c>
      <c r="G820">
        <v>-122.35714</v>
      </c>
      <c r="H820">
        <v>47.521030000000003</v>
      </c>
      <c r="I820" t="s">
        <v>826</v>
      </c>
      <c r="J820">
        <f t="shared" si="12"/>
        <v>1</v>
      </c>
      <c r="K820">
        <v>4</v>
      </c>
    </row>
    <row r="821" spans="1:11" x14ac:dyDescent="0.25">
      <c r="A821">
        <v>1703153</v>
      </c>
      <c r="B821">
        <v>65</v>
      </c>
      <c r="C821" t="s">
        <v>39</v>
      </c>
      <c r="D821" s="1">
        <v>42456.98333333333</v>
      </c>
      <c r="E821" t="s">
        <v>71</v>
      </c>
      <c r="F821" t="s">
        <v>72</v>
      </c>
      <c r="G821">
        <v>-122.35515599999999</v>
      </c>
      <c r="H821">
        <v>47.518276</v>
      </c>
      <c r="I821" t="s">
        <v>827</v>
      </c>
      <c r="J821">
        <f t="shared" si="12"/>
        <v>1</v>
      </c>
      <c r="K821">
        <v>1</v>
      </c>
    </row>
    <row r="822" spans="1:11" x14ac:dyDescent="0.25">
      <c r="A822">
        <v>1703154</v>
      </c>
      <c r="B822">
        <v>52</v>
      </c>
      <c r="C822" t="s">
        <v>57</v>
      </c>
      <c r="D822" s="1">
        <v>42456.981249999997</v>
      </c>
      <c r="E822" t="s">
        <v>43</v>
      </c>
      <c r="F822" t="s">
        <v>44</v>
      </c>
      <c r="G822">
        <v>-122.32768</v>
      </c>
      <c r="H822">
        <v>47.596657</v>
      </c>
      <c r="I822" t="s">
        <v>556</v>
      </c>
      <c r="J822">
        <f t="shared" si="12"/>
        <v>3</v>
      </c>
      <c r="K822">
        <v>3</v>
      </c>
    </row>
    <row r="823" spans="1:11" x14ac:dyDescent="0.25">
      <c r="A823">
        <v>1703155</v>
      </c>
      <c r="B823">
        <v>282</v>
      </c>
      <c r="C823" t="s">
        <v>486</v>
      </c>
      <c r="D823" s="1">
        <v>42456.977083333331</v>
      </c>
      <c r="E823" t="s">
        <v>71</v>
      </c>
      <c r="F823" t="s">
        <v>126</v>
      </c>
      <c r="G823">
        <v>-122.333275</v>
      </c>
      <c r="H823">
        <v>47.705939999999998</v>
      </c>
      <c r="I823" t="s">
        <v>828</v>
      </c>
      <c r="J823">
        <f t="shared" si="12"/>
        <v>1</v>
      </c>
      <c r="K823">
        <v>1</v>
      </c>
    </row>
    <row r="824" spans="1:11" x14ac:dyDescent="0.25">
      <c r="A824">
        <v>1703156</v>
      </c>
      <c r="B824">
        <v>177</v>
      </c>
      <c r="C824" t="s">
        <v>61</v>
      </c>
      <c r="D824" s="1">
        <v>42456.993055555555</v>
      </c>
      <c r="E824" t="s">
        <v>67</v>
      </c>
      <c r="F824" t="s">
        <v>193</v>
      </c>
      <c r="G824">
        <v>-122.33779</v>
      </c>
      <c r="H824">
        <v>47.609749999999998</v>
      </c>
      <c r="I824" t="s">
        <v>829</v>
      </c>
      <c r="J824">
        <f t="shared" si="12"/>
        <v>2</v>
      </c>
      <c r="K824">
        <v>1</v>
      </c>
    </row>
    <row r="825" spans="1:11" x14ac:dyDescent="0.25">
      <c r="A825">
        <v>1703157</v>
      </c>
      <c r="B825">
        <v>244</v>
      </c>
      <c r="C825" t="s">
        <v>286</v>
      </c>
      <c r="D825" s="1">
        <v>42456.995833333334</v>
      </c>
      <c r="E825" t="s">
        <v>47</v>
      </c>
      <c r="F825" t="s">
        <v>90</v>
      </c>
      <c r="G825">
        <v>-122.32532</v>
      </c>
      <c r="H825">
        <v>47.623714</v>
      </c>
      <c r="I825" t="s">
        <v>830</v>
      </c>
      <c r="J825">
        <f t="shared" si="12"/>
        <v>1</v>
      </c>
      <c r="K825">
        <v>3</v>
      </c>
    </row>
    <row r="826" spans="1:11" x14ac:dyDescent="0.25">
      <c r="A826">
        <v>1703158</v>
      </c>
      <c r="B826">
        <v>177</v>
      </c>
      <c r="C826" t="s">
        <v>61</v>
      </c>
      <c r="D826" s="1">
        <v>42456.993750000001</v>
      </c>
      <c r="E826" t="s">
        <v>43</v>
      </c>
      <c r="F826" t="s">
        <v>44</v>
      </c>
      <c r="G826">
        <v>-122.33081</v>
      </c>
      <c r="H826">
        <v>47.600464000000002</v>
      </c>
      <c r="I826" t="s">
        <v>45</v>
      </c>
      <c r="J826">
        <f t="shared" si="12"/>
        <v>17</v>
      </c>
      <c r="K826">
        <v>2</v>
      </c>
    </row>
    <row r="827" spans="1:11" x14ac:dyDescent="0.25">
      <c r="A827">
        <v>1703159</v>
      </c>
      <c r="B827">
        <v>430</v>
      </c>
      <c r="C827" t="s">
        <v>70</v>
      </c>
      <c r="D827" s="1">
        <v>42457.004861111112</v>
      </c>
      <c r="E827" t="s">
        <v>23</v>
      </c>
      <c r="F827" t="s">
        <v>189</v>
      </c>
      <c r="G827">
        <v>-122.36441000000001</v>
      </c>
      <c r="H827">
        <v>47.632328000000001</v>
      </c>
      <c r="I827" t="s">
        <v>831</v>
      </c>
      <c r="J827">
        <f t="shared" si="12"/>
        <v>1</v>
      </c>
      <c r="K827">
        <v>2</v>
      </c>
    </row>
    <row r="828" spans="1:11" x14ac:dyDescent="0.25">
      <c r="A828">
        <v>1703160</v>
      </c>
      <c r="B828">
        <v>430</v>
      </c>
      <c r="C828" t="s">
        <v>70</v>
      </c>
      <c r="D828" s="1">
        <v>42457.006944444445</v>
      </c>
      <c r="E828" t="s">
        <v>64</v>
      </c>
      <c r="F828" t="s">
        <v>215</v>
      </c>
      <c r="G828">
        <v>-122.36675</v>
      </c>
      <c r="H828">
        <v>47.568339999999999</v>
      </c>
      <c r="I828" t="s">
        <v>832</v>
      </c>
      <c r="J828">
        <f t="shared" si="12"/>
        <v>1</v>
      </c>
      <c r="K828">
        <v>1</v>
      </c>
    </row>
    <row r="829" spans="1:11" x14ac:dyDescent="0.25">
      <c r="A829">
        <v>1703161</v>
      </c>
      <c r="B829">
        <v>244</v>
      </c>
      <c r="C829" t="s">
        <v>286</v>
      </c>
      <c r="D829" s="1">
        <v>42457.013888888891</v>
      </c>
      <c r="E829" t="s">
        <v>71</v>
      </c>
      <c r="F829" t="s">
        <v>126</v>
      </c>
      <c r="G829">
        <v>-122.31941</v>
      </c>
      <c r="H829">
        <v>47.604782</v>
      </c>
      <c r="I829" t="s">
        <v>833</v>
      </c>
      <c r="J829">
        <f t="shared" si="12"/>
        <v>1</v>
      </c>
      <c r="K829">
        <v>2</v>
      </c>
    </row>
    <row r="830" spans="1:11" x14ac:dyDescent="0.25">
      <c r="A830">
        <v>1703162</v>
      </c>
      <c r="B830">
        <v>450</v>
      </c>
      <c r="C830" t="s">
        <v>266</v>
      </c>
      <c r="D830" s="1">
        <v>42457.018750000003</v>
      </c>
      <c r="E830" t="s">
        <v>47</v>
      </c>
      <c r="F830" t="s">
        <v>90</v>
      </c>
      <c r="G830">
        <v>-122.32308</v>
      </c>
      <c r="H830">
        <v>47.621997999999998</v>
      </c>
      <c r="I830" t="s">
        <v>834</v>
      </c>
      <c r="J830">
        <f t="shared" si="12"/>
        <v>1</v>
      </c>
      <c r="K830">
        <v>1</v>
      </c>
    </row>
    <row r="831" spans="1:11" x14ac:dyDescent="0.25">
      <c r="A831">
        <v>1703163</v>
      </c>
      <c r="B831">
        <v>245</v>
      </c>
      <c r="C831" t="s">
        <v>32</v>
      </c>
      <c r="D831" s="1">
        <v>42457.017361111109</v>
      </c>
      <c r="E831" t="s">
        <v>23</v>
      </c>
      <c r="F831" t="s">
        <v>24</v>
      </c>
      <c r="G831">
        <v>-122.38672</v>
      </c>
      <c r="H831">
        <v>47.640067999999999</v>
      </c>
      <c r="I831" t="s">
        <v>835</v>
      </c>
      <c r="J831">
        <f t="shared" si="12"/>
        <v>1</v>
      </c>
      <c r="K831">
        <v>0</v>
      </c>
    </row>
    <row r="832" spans="1:11" x14ac:dyDescent="0.25">
      <c r="A832">
        <v>1703164</v>
      </c>
      <c r="B832">
        <v>250</v>
      </c>
      <c r="C832" t="s">
        <v>59</v>
      </c>
      <c r="D832" s="1">
        <v>42457.022222222222</v>
      </c>
      <c r="E832" t="s">
        <v>71</v>
      </c>
      <c r="F832" t="s">
        <v>110</v>
      </c>
      <c r="G832">
        <v>-122.35803</v>
      </c>
      <c r="H832">
        <v>47.622695999999998</v>
      </c>
      <c r="I832" t="s">
        <v>836</v>
      </c>
      <c r="J832">
        <f t="shared" si="12"/>
        <v>1</v>
      </c>
      <c r="K832">
        <v>2</v>
      </c>
    </row>
    <row r="833" spans="1:11" x14ac:dyDescent="0.25">
      <c r="A833">
        <v>1703165</v>
      </c>
      <c r="B833">
        <v>280</v>
      </c>
      <c r="C833" t="s">
        <v>22</v>
      </c>
      <c r="D833" s="1">
        <v>42457.020833333336</v>
      </c>
      <c r="E833" t="s">
        <v>23</v>
      </c>
      <c r="F833" t="s">
        <v>24</v>
      </c>
      <c r="G833">
        <v>-122.38197</v>
      </c>
      <c r="H833">
        <v>47.646583999999997</v>
      </c>
      <c r="I833" t="s">
        <v>837</v>
      </c>
      <c r="J833">
        <f t="shared" si="12"/>
        <v>1</v>
      </c>
      <c r="K833">
        <v>2</v>
      </c>
    </row>
    <row r="834" spans="1:11" x14ac:dyDescent="0.25">
      <c r="A834">
        <v>1703166</v>
      </c>
      <c r="B834">
        <v>63</v>
      </c>
      <c r="C834" t="s">
        <v>87</v>
      </c>
      <c r="D834" s="1">
        <v>42457.025694444441</v>
      </c>
      <c r="E834" t="s">
        <v>40</v>
      </c>
      <c r="F834" t="s">
        <v>151</v>
      </c>
      <c r="G834">
        <v>-122.297455</v>
      </c>
      <c r="H834">
        <v>47.617054000000003</v>
      </c>
      <c r="I834" t="s">
        <v>838</v>
      </c>
      <c r="J834">
        <f t="shared" ref="J834:J897" si="13">COUNTIF($I$2:$I$1046,I834)</f>
        <v>1</v>
      </c>
      <c r="K834">
        <v>2</v>
      </c>
    </row>
    <row r="835" spans="1:11" x14ac:dyDescent="0.25">
      <c r="A835">
        <v>1703167</v>
      </c>
      <c r="B835">
        <v>280</v>
      </c>
      <c r="C835" t="s">
        <v>22</v>
      </c>
      <c r="D835" s="1">
        <v>42457.029166666667</v>
      </c>
      <c r="E835" t="s">
        <v>23</v>
      </c>
      <c r="F835" t="s">
        <v>189</v>
      </c>
      <c r="G835">
        <v>-122.34754</v>
      </c>
      <c r="H835">
        <v>47.630164999999998</v>
      </c>
      <c r="I835" t="s">
        <v>338</v>
      </c>
      <c r="J835">
        <f t="shared" si="13"/>
        <v>2</v>
      </c>
      <c r="K835">
        <v>2</v>
      </c>
    </row>
    <row r="836" spans="1:11" x14ac:dyDescent="0.25">
      <c r="A836">
        <v>1703168</v>
      </c>
      <c r="B836">
        <v>177</v>
      </c>
      <c r="C836" t="s">
        <v>61</v>
      </c>
      <c r="D836" s="1">
        <v>42457.03125</v>
      </c>
      <c r="E836" t="s">
        <v>67</v>
      </c>
      <c r="F836" t="s">
        <v>100</v>
      </c>
      <c r="G836">
        <v>-122.34287999999999</v>
      </c>
      <c r="H836">
        <v>47.609814</v>
      </c>
      <c r="I836" t="s">
        <v>236</v>
      </c>
      <c r="J836">
        <f t="shared" si="13"/>
        <v>10</v>
      </c>
      <c r="K836">
        <v>2</v>
      </c>
    </row>
    <row r="837" spans="1:11" x14ac:dyDescent="0.25">
      <c r="A837">
        <v>1703169</v>
      </c>
      <c r="B837">
        <v>281</v>
      </c>
      <c r="C837" t="s">
        <v>26</v>
      </c>
      <c r="D837" s="1">
        <v>42457.032638888886</v>
      </c>
      <c r="E837" t="s">
        <v>64</v>
      </c>
      <c r="F837" t="s">
        <v>65</v>
      </c>
      <c r="G837">
        <v>-122.38711499999999</v>
      </c>
      <c r="H837">
        <v>47.549396999999999</v>
      </c>
      <c r="I837" t="s">
        <v>839</v>
      </c>
      <c r="J837">
        <f t="shared" si="13"/>
        <v>1</v>
      </c>
      <c r="K837">
        <v>0</v>
      </c>
    </row>
    <row r="838" spans="1:11" x14ac:dyDescent="0.25">
      <c r="A838">
        <v>1703170</v>
      </c>
      <c r="B838">
        <v>250</v>
      </c>
      <c r="C838" t="s">
        <v>59</v>
      </c>
      <c r="D838" s="1">
        <v>42457.037499999999</v>
      </c>
      <c r="E838" t="s">
        <v>29</v>
      </c>
      <c r="F838" t="s">
        <v>156</v>
      </c>
      <c r="G838">
        <v>-122.29688</v>
      </c>
      <c r="H838">
        <v>47.54833</v>
      </c>
      <c r="I838" t="s">
        <v>840</v>
      </c>
      <c r="J838">
        <f t="shared" si="13"/>
        <v>1</v>
      </c>
      <c r="K838">
        <v>3</v>
      </c>
    </row>
    <row r="839" spans="1:11" x14ac:dyDescent="0.25">
      <c r="A839">
        <v>1703171</v>
      </c>
      <c r="B839">
        <v>245</v>
      </c>
      <c r="C839" t="s">
        <v>32</v>
      </c>
      <c r="D839" s="1">
        <v>42457.038194444445</v>
      </c>
      <c r="E839" t="s">
        <v>15</v>
      </c>
      <c r="F839" t="s">
        <v>16</v>
      </c>
      <c r="G839">
        <v>-122.30831000000001</v>
      </c>
      <c r="H839">
        <v>47.599243000000001</v>
      </c>
      <c r="I839" t="s">
        <v>841</v>
      </c>
      <c r="J839">
        <f t="shared" si="13"/>
        <v>1</v>
      </c>
      <c r="K839">
        <v>4</v>
      </c>
    </row>
    <row r="840" spans="1:11" x14ac:dyDescent="0.25">
      <c r="A840">
        <v>1703172</v>
      </c>
      <c r="B840">
        <v>64</v>
      </c>
      <c r="C840" t="s">
        <v>158</v>
      </c>
      <c r="D840" s="1">
        <v>42457.037499999999</v>
      </c>
      <c r="E840" t="s">
        <v>67</v>
      </c>
      <c r="F840" t="s">
        <v>68</v>
      </c>
      <c r="G840">
        <v>-122.33617</v>
      </c>
      <c r="H840">
        <v>47.616055000000003</v>
      </c>
      <c r="I840" t="s">
        <v>716</v>
      </c>
      <c r="J840">
        <f t="shared" si="13"/>
        <v>3</v>
      </c>
      <c r="K840">
        <v>0</v>
      </c>
    </row>
    <row r="841" spans="1:11" x14ac:dyDescent="0.25">
      <c r="A841">
        <v>1703173</v>
      </c>
      <c r="B841">
        <v>191</v>
      </c>
      <c r="C841" t="s">
        <v>842</v>
      </c>
      <c r="D841" s="1">
        <v>42457.038194444445</v>
      </c>
      <c r="E841" t="s">
        <v>67</v>
      </c>
      <c r="F841" t="s">
        <v>100</v>
      </c>
      <c r="G841">
        <v>-122.3409</v>
      </c>
      <c r="H841">
        <v>47.612395999999997</v>
      </c>
      <c r="I841" t="s">
        <v>393</v>
      </c>
      <c r="J841">
        <f t="shared" si="13"/>
        <v>2</v>
      </c>
      <c r="K841">
        <v>2</v>
      </c>
    </row>
    <row r="842" spans="1:11" x14ac:dyDescent="0.25">
      <c r="A842">
        <v>1703174</v>
      </c>
      <c r="B842">
        <v>280</v>
      </c>
      <c r="C842" t="s">
        <v>22</v>
      </c>
      <c r="D842" s="1">
        <v>42457.038194444445</v>
      </c>
      <c r="E842" t="s">
        <v>71</v>
      </c>
      <c r="F842" t="s">
        <v>72</v>
      </c>
      <c r="G842">
        <v>-122.3424</v>
      </c>
      <c r="H842">
        <v>47.612118000000002</v>
      </c>
      <c r="I842" t="s">
        <v>299</v>
      </c>
      <c r="J842">
        <f t="shared" si="13"/>
        <v>3</v>
      </c>
      <c r="K842">
        <v>0</v>
      </c>
    </row>
    <row r="843" spans="1:11" x14ac:dyDescent="0.25">
      <c r="A843">
        <v>1703175</v>
      </c>
      <c r="B843">
        <v>281</v>
      </c>
      <c r="C843" t="s">
        <v>26</v>
      </c>
      <c r="D843" s="1">
        <v>42457.044444444444</v>
      </c>
      <c r="E843" t="s">
        <v>81</v>
      </c>
      <c r="F843" t="s">
        <v>135</v>
      </c>
      <c r="G843">
        <v>-122.34566</v>
      </c>
      <c r="H843">
        <v>47.614040000000003</v>
      </c>
      <c r="I843" t="s">
        <v>843</v>
      </c>
      <c r="J843">
        <f t="shared" si="13"/>
        <v>1</v>
      </c>
      <c r="K843">
        <v>4</v>
      </c>
    </row>
    <row r="844" spans="1:11" x14ac:dyDescent="0.25">
      <c r="A844">
        <v>1703176</v>
      </c>
      <c r="B844">
        <v>50</v>
      </c>
      <c r="C844" t="s">
        <v>211</v>
      </c>
      <c r="D844" s="1">
        <v>42457.043749999997</v>
      </c>
      <c r="E844" t="s">
        <v>11</v>
      </c>
      <c r="F844" t="s">
        <v>245</v>
      </c>
      <c r="G844">
        <v>-122.30614</v>
      </c>
      <c r="H844">
        <v>47.555343999999998</v>
      </c>
      <c r="I844" t="s">
        <v>844</v>
      </c>
      <c r="J844">
        <f t="shared" si="13"/>
        <v>1</v>
      </c>
      <c r="K844">
        <v>2</v>
      </c>
    </row>
    <row r="845" spans="1:11" x14ac:dyDescent="0.25">
      <c r="A845">
        <v>1703177</v>
      </c>
      <c r="B845">
        <v>245</v>
      </c>
      <c r="C845" t="s">
        <v>32</v>
      </c>
      <c r="D845" s="1">
        <v>42457.041666666664</v>
      </c>
      <c r="E845" t="s">
        <v>95</v>
      </c>
      <c r="F845" t="s">
        <v>367</v>
      </c>
      <c r="G845">
        <v>-122.31523</v>
      </c>
      <c r="H845">
        <v>47.665680000000002</v>
      </c>
      <c r="I845" t="s">
        <v>465</v>
      </c>
      <c r="J845">
        <f t="shared" si="13"/>
        <v>2</v>
      </c>
      <c r="K845">
        <v>1</v>
      </c>
    </row>
    <row r="846" spans="1:11" x14ac:dyDescent="0.25">
      <c r="A846">
        <v>1703178</v>
      </c>
      <c r="B846">
        <v>470</v>
      </c>
      <c r="C846" t="s">
        <v>14</v>
      </c>
      <c r="D846" s="1">
        <v>42457.055555555555</v>
      </c>
      <c r="E846" t="s">
        <v>64</v>
      </c>
      <c r="F846" t="s">
        <v>215</v>
      </c>
      <c r="G846">
        <v>-122.38679500000001</v>
      </c>
      <c r="H846">
        <v>47.595149999999997</v>
      </c>
      <c r="I846" t="s">
        <v>845</v>
      </c>
      <c r="J846">
        <f t="shared" si="13"/>
        <v>1</v>
      </c>
      <c r="K846">
        <v>3</v>
      </c>
    </row>
    <row r="847" spans="1:11" x14ac:dyDescent="0.25">
      <c r="A847">
        <v>1703179</v>
      </c>
      <c r="B847">
        <v>250</v>
      </c>
      <c r="C847" t="s">
        <v>59</v>
      </c>
      <c r="D847" s="1">
        <v>42457.054861111108</v>
      </c>
      <c r="E847" t="s">
        <v>29</v>
      </c>
      <c r="F847" t="s">
        <v>156</v>
      </c>
      <c r="G847">
        <v>-122.29688</v>
      </c>
      <c r="H847">
        <v>47.549239999999998</v>
      </c>
      <c r="I847" t="s">
        <v>846</v>
      </c>
      <c r="J847">
        <f t="shared" si="13"/>
        <v>1</v>
      </c>
      <c r="K847">
        <v>2</v>
      </c>
    </row>
    <row r="848" spans="1:11" x14ac:dyDescent="0.25">
      <c r="A848">
        <v>1703180</v>
      </c>
      <c r="B848">
        <v>460</v>
      </c>
      <c r="C848" t="s">
        <v>18</v>
      </c>
      <c r="D848" s="1">
        <v>42457.054861111108</v>
      </c>
      <c r="E848" t="s">
        <v>19</v>
      </c>
      <c r="F848" t="s">
        <v>50</v>
      </c>
      <c r="G848">
        <v>-122.3291</v>
      </c>
      <c r="H848">
        <v>47.571550000000002</v>
      </c>
      <c r="I848" t="s">
        <v>847</v>
      </c>
      <c r="J848">
        <f t="shared" si="13"/>
        <v>1</v>
      </c>
      <c r="K848">
        <v>3</v>
      </c>
    </row>
    <row r="849" spans="1:11" x14ac:dyDescent="0.25">
      <c r="A849">
        <v>1703181</v>
      </c>
      <c r="B849">
        <v>242</v>
      </c>
      <c r="C849" t="s">
        <v>10</v>
      </c>
      <c r="D849" s="1">
        <v>42457.053472222222</v>
      </c>
      <c r="E849" t="s">
        <v>130</v>
      </c>
      <c r="F849" t="s">
        <v>272</v>
      </c>
      <c r="G849">
        <v>-122.29792</v>
      </c>
      <c r="H849">
        <v>47.718375999999999</v>
      </c>
      <c r="I849" t="s">
        <v>848</v>
      </c>
      <c r="J849">
        <f t="shared" si="13"/>
        <v>1</v>
      </c>
      <c r="K849">
        <v>4</v>
      </c>
    </row>
    <row r="850" spans="1:11" x14ac:dyDescent="0.25">
      <c r="A850">
        <v>1703182</v>
      </c>
      <c r="B850">
        <v>177</v>
      </c>
      <c r="C850" t="s">
        <v>61</v>
      </c>
      <c r="D850" s="1">
        <v>42457.060416666667</v>
      </c>
      <c r="E850" t="s">
        <v>43</v>
      </c>
      <c r="F850" t="s">
        <v>44</v>
      </c>
      <c r="G850">
        <v>-122.33081</v>
      </c>
      <c r="H850">
        <v>47.600464000000002</v>
      </c>
      <c r="I850" t="s">
        <v>45</v>
      </c>
      <c r="J850">
        <f t="shared" si="13"/>
        <v>17</v>
      </c>
      <c r="K850">
        <v>1</v>
      </c>
    </row>
    <row r="851" spans="1:11" x14ac:dyDescent="0.25">
      <c r="A851">
        <v>1703183</v>
      </c>
      <c r="B851">
        <v>460</v>
      </c>
      <c r="C851" t="s">
        <v>18</v>
      </c>
      <c r="D851" s="1">
        <v>42457.061111111114</v>
      </c>
      <c r="E851" t="s">
        <v>71</v>
      </c>
      <c r="F851" t="s">
        <v>72</v>
      </c>
      <c r="G851">
        <v>-122.317825</v>
      </c>
      <c r="H851">
        <v>47.601695999999997</v>
      </c>
      <c r="I851" t="s">
        <v>467</v>
      </c>
      <c r="J851">
        <f t="shared" si="13"/>
        <v>2</v>
      </c>
      <c r="K851">
        <v>1</v>
      </c>
    </row>
    <row r="852" spans="1:11" x14ac:dyDescent="0.25">
      <c r="A852">
        <v>1703184</v>
      </c>
      <c r="B852">
        <v>450</v>
      </c>
      <c r="C852" t="s">
        <v>266</v>
      </c>
      <c r="D852" s="1">
        <v>42457.063194444447</v>
      </c>
      <c r="E852" t="s">
        <v>19</v>
      </c>
      <c r="F852" t="s">
        <v>349</v>
      </c>
      <c r="G852">
        <v>-122.31650999999999</v>
      </c>
      <c r="H852">
        <v>47.548865999999997</v>
      </c>
      <c r="I852" t="s">
        <v>849</v>
      </c>
      <c r="J852">
        <f t="shared" si="13"/>
        <v>1</v>
      </c>
      <c r="K852">
        <v>3</v>
      </c>
    </row>
    <row r="853" spans="1:11" x14ac:dyDescent="0.25">
      <c r="A853">
        <v>1703185</v>
      </c>
      <c r="B853">
        <v>245</v>
      </c>
      <c r="C853" t="s">
        <v>32</v>
      </c>
      <c r="D853" s="1">
        <v>42457.061805555553</v>
      </c>
      <c r="E853" t="s">
        <v>95</v>
      </c>
      <c r="F853" t="s">
        <v>367</v>
      </c>
      <c r="G853">
        <v>-122.3152</v>
      </c>
      <c r="H853">
        <v>47.667503000000004</v>
      </c>
      <c r="I853" t="s">
        <v>850</v>
      </c>
      <c r="J853">
        <f t="shared" si="13"/>
        <v>1</v>
      </c>
      <c r="K853">
        <v>0</v>
      </c>
    </row>
    <row r="854" spans="1:11" x14ac:dyDescent="0.25">
      <c r="A854">
        <v>1703186</v>
      </c>
      <c r="B854">
        <v>63</v>
      </c>
      <c r="C854" t="s">
        <v>87</v>
      </c>
      <c r="D854" s="1">
        <v>42457.055555555555</v>
      </c>
      <c r="E854" t="s">
        <v>71</v>
      </c>
      <c r="F854" t="s">
        <v>126</v>
      </c>
      <c r="G854">
        <v>-122.3578</v>
      </c>
      <c r="H854">
        <v>47.521949999999997</v>
      </c>
      <c r="I854" t="s">
        <v>550</v>
      </c>
      <c r="J854">
        <f t="shared" si="13"/>
        <v>2</v>
      </c>
      <c r="K854">
        <v>2</v>
      </c>
    </row>
    <row r="855" spans="1:11" x14ac:dyDescent="0.25">
      <c r="A855">
        <v>1703187</v>
      </c>
      <c r="B855">
        <v>245</v>
      </c>
      <c r="C855" t="s">
        <v>32</v>
      </c>
      <c r="D855" s="1">
        <v>42457.061805555553</v>
      </c>
      <c r="E855" t="s">
        <v>67</v>
      </c>
      <c r="F855" t="s">
        <v>100</v>
      </c>
      <c r="G855">
        <v>-122.33946</v>
      </c>
      <c r="H855">
        <v>47.609054999999998</v>
      </c>
      <c r="I855" t="s">
        <v>340</v>
      </c>
      <c r="J855">
        <f t="shared" si="13"/>
        <v>3</v>
      </c>
      <c r="K855">
        <v>1</v>
      </c>
    </row>
    <row r="856" spans="1:11" x14ac:dyDescent="0.25">
      <c r="A856">
        <v>1703188</v>
      </c>
      <c r="B856">
        <v>40</v>
      </c>
      <c r="C856" t="s">
        <v>119</v>
      </c>
      <c r="D856" s="1">
        <v>42457.073611111111</v>
      </c>
      <c r="E856" t="s">
        <v>81</v>
      </c>
      <c r="F856" t="s">
        <v>154</v>
      </c>
      <c r="G856">
        <v>-122.329155</v>
      </c>
      <c r="H856">
        <v>47.622549999999997</v>
      </c>
      <c r="I856" t="s">
        <v>851</v>
      </c>
      <c r="J856">
        <f t="shared" si="13"/>
        <v>1</v>
      </c>
      <c r="K856">
        <v>1</v>
      </c>
    </row>
    <row r="857" spans="1:11" x14ac:dyDescent="0.25">
      <c r="A857">
        <v>1703189</v>
      </c>
      <c r="B857">
        <v>65</v>
      </c>
      <c r="C857" t="s">
        <v>39</v>
      </c>
      <c r="D857" s="1">
        <v>42457.071527777778</v>
      </c>
      <c r="E857" t="s">
        <v>81</v>
      </c>
      <c r="F857" t="s">
        <v>154</v>
      </c>
      <c r="G857">
        <v>-122.32589</v>
      </c>
      <c r="H857">
        <v>47.640880000000003</v>
      </c>
      <c r="I857" t="s">
        <v>217</v>
      </c>
      <c r="J857">
        <f t="shared" si="13"/>
        <v>3</v>
      </c>
      <c r="K857">
        <v>1</v>
      </c>
    </row>
    <row r="858" spans="1:11" x14ac:dyDescent="0.25">
      <c r="A858">
        <v>1703190</v>
      </c>
      <c r="B858">
        <v>177</v>
      </c>
      <c r="C858" t="s">
        <v>61</v>
      </c>
      <c r="D858" s="1">
        <v>42457.083333333336</v>
      </c>
      <c r="E858" t="s">
        <v>43</v>
      </c>
      <c r="F858" t="s">
        <v>44</v>
      </c>
      <c r="G858">
        <v>-122.33081</v>
      </c>
      <c r="H858">
        <v>47.600464000000002</v>
      </c>
      <c r="I858" t="s">
        <v>45</v>
      </c>
      <c r="J858">
        <f t="shared" si="13"/>
        <v>17</v>
      </c>
      <c r="K858">
        <v>3</v>
      </c>
    </row>
    <row r="859" spans="1:11" x14ac:dyDescent="0.25">
      <c r="A859">
        <v>1703191</v>
      </c>
      <c r="B859">
        <v>280</v>
      </c>
      <c r="C859" t="s">
        <v>22</v>
      </c>
      <c r="D859" s="1">
        <v>42457.082638888889</v>
      </c>
      <c r="E859" t="s">
        <v>95</v>
      </c>
      <c r="F859" t="s">
        <v>367</v>
      </c>
      <c r="G859">
        <v>-122.30652600000001</v>
      </c>
      <c r="H859">
        <v>47.661254999999997</v>
      </c>
      <c r="I859" t="s">
        <v>852</v>
      </c>
      <c r="J859">
        <f t="shared" si="13"/>
        <v>1</v>
      </c>
      <c r="K859">
        <v>1</v>
      </c>
    </row>
    <row r="860" spans="1:11" x14ac:dyDescent="0.25">
      <c r="A860">
        <v>1703192</v>
      </c>
      <c r="B860">
        <v>245</v>
      </c>
      <c r="C860" t="s">
        <v>32</v>
      </c>
      <c r="D860" s="1">
        <v>42457.085416666669</v>
      </c>
      <c r="E860" t="s">
        <v>47</v>
      </c>
      <c r="F860" t="s">
        <v>90</v>
      </c>
      <c r="G860">
        <v>-122.32594</v>
      </c>
      <c r="H860">
        <v>47.618113999999998</v>
      </c>
      <c r="I860" t="s">
        <v>853</v>
      </c>
      <c r="J860">
        <f t="shared" si="13"/>
        <v>1</v>
      </c>
      <c r="K860">
        <v>3</v>
      </c>
    </row>
    <row r="861" spans="1:11" x14ac:dyDescent="0.25">
      <c r="A861">
        <v>1703193</v>
      </c>
      <c r="B861">
        <v>200</v>
      </c>
      <c r="C861" t="s">
        <v>187</v>
      </c>
      <c r="D861" s="1">
        <v>42457.080555555556</v>
      </c>
      <c r="E861" t="s">
        <v>29</v>
      </c>
      <c r="F861" t="s">
        <v>30</v>
      </c>
      <c r="G861">
        <v>-122.26926</v>
      </c>
      <c r="H861">
        <v>47.519919999999999</v>
      </c>
      <c r="I861" t="s">
        <v>854</v>
      </c>
      <c r="J861">
        <f t="shared" si="13"/>
        <v>2</v>
      </c>
      <c r="K861">
        <v>1</v>
      </c>
    </row>
    <row r="862" spans="1:11" x14ac:dyDescent="0.25">
      <c r="A862">
        <v>1703194</v>
      </c>
      <c r="B862">
        <v>460</v>
      </c>
      <c r="C862" t="s">
        <v>18</v>
      </c>
      <c r="D862" s="1">
        <v>42457.07708333333</v>
      </c>
      <c r="E862" t="s">
        <v>67</v>
      </c>
      <c r="F862" t="s">
        <v>100</v>
      </c>
      <c r="G862">
        <v>-122.34045399999999</v>
      </c>
      <c r="H862">
        <v>47.610962000000001</v>
      </c>
      <c r="I862" t="s">
        <v>450</v>
      </c>
      <c r="J862">
        <f t="shared" si="13"/>
        <v>2</v>
      </c>
      <c r="K862">
        <v>3</v>
      </c>
    </row>
    <row r="863" spans="1:11" x14ac:dyDescent="0.25">
      <c r="A863">
        <v>1703195</v>
      </c>
      <c r="B863">
        <v>177</v>
      </c>
      <c r="C863" t="s">
        <v>61</v>
      </c>
      <c r="D863" s="1">
        <v>42457.101388888892</v>
      </c>
      <c r="E863" t="s">
        <v>81</v>
      </c>
      <c r="F863" t="s">
        <v>82</v>
      </c>
      <c r="G863">
        <v>-122.337875</v>
      </c>
      <c r="H863">
        <v>47.615887000000001</v>
      </c>
      <c r="I863" t="s">
        <v>855</v>
      </c>
      <c r="J863">
        <f t="shared" si="13"/>
        <v>1</v>
      </c>
      <c r="K863">
        <v>3</v>
      </c>
    </row>
    <row r="864" spans="1:11" x14ac:dyDescent="0.25">
      <c r="A864">
        <v>1703196</v>
      </c>
      <c r="B864">
        <v>245</v>
      </c>
      <c r="C864" t="s">
        <v>32</v>
      </c>
      <c r="D864" s="1">
        <v>42457.105555555558</v>
      </c>
      <c r="E864" t="s">
        <v>47</v>
      </c>
      <c r="F864" t="s">
        <v>90</v>
      </c>
      <c r="G864">
        <v>-122.326584</v>
      </c>
      <c r="H864">
        <v>47.621406999999998</v>
      </c>
      <c r="I864" t="s">
        <v>856</v>
      </c>
      <c r="J864">
        <f t="shared" si="13"/>
        <v>1</v>
      </c>
      <c r="K864">
        <v>3</v>
      </c>
    </row>
    <row r="865" spans="1:11" x14ac:dyDescent="0.25">
      <c r="A865">
        <v>1703197</v>
      </c>
      <c r="B865">
        <v>245</v>
      </c>
      <c r="C865" t="s">
        <v>32</v>
      </c>
      <c r="D865" s="1">
        <v>42457.106944444444</v>
      </c>
      <c r="E865" t="s">
        <v>47</v>
      </c>
      <c r="F865" t="s">
        <v>90</v>
      </c>
      <c r="G865">
        <v>-122.325554</v>
      </c>
      <c r="H865">
        <v>47.617040000000003</v>
      </c>
      <c r="I865" t="s">
        <v>857</v>
      </c>
      <c r="J865">
        <f t="shared" si="13"/>
        <v>1</v>
      </c>
      <c r="K865">
        <v>3</v>
      </c>
    </row>
    <row r="866" spans="1:11" x14ac:dyDescent="0.25">
      <c r="A866">
        <v>1703198</v>
      </c>
      <c r="B866">
        <v>350</v>
      </c>
      <c r="C866" t="s">
        <v>76</v>
      </c>
      <c r="D866" s="1">
        <v>42457.095138888886</v>
      </c>
      <c r="E866" t="s">
        <v>15</v>
      </c>
      <c r="F866" t="s">
        <v>92</v>
      </c>
      <c r="G866">
        <v>-122.31677999999999</v>
      </c>
      <c r="H866">
        <v>47.606200000000001</v>
      </c>
      <c r="I866" t="s">
        <v>780</v>
      </c>
      <c r="J866">
        <f t="shared" si="13"/>
        <v>2</v>
      </c>
      <c r="K866">
        <v>1</v>
      </c>
    </row>
    <row r="867" spans="1:11" x14ac:dyDescent="0.25">
      <c r="A867">
        <v>1703199</v>
      </c>
      <c r="B867">
        <v>161</v>
      </c>
      <c r="C867" t="s">
        <v>35</v>
      </c>
      <c r="D867" s="1">
        <v>42457.106249999997</v>
      </c>
      <c r="E867" t="s">
        <v>81</v>
      </c>
      <c r="F867" t="s">
        <v>154</v>
      </c>
      <c r="G867">
        <v>-122.33506</v>
      </c>
      <c r="H867">
        <v>47.619680000000002</v>
      </c>
      <c r="I867" t="s">
        <v>293</v>
      </c>
      <c r="J867">
        <f t="shared" si="13"/>
        <v>2</v>
      </c>
      <c r="K867">
        <v>1</v>
      </c>
    </row>
    <row r="868" spans="1:11" x14ac:dyDescent="0.25">
      <c r="A868">
        <v>1703200</v>
      </c>
      <c r="B868">
        <v>280</v>
      </c>
      <c r="C868" t="s">
        <v>22</v>
      </c>
      <c r="D868" s="1">
        <v>42457.095138888886</v>
      </c>
      <c r="E868" t="s">
        <v>95</v>
      </c>
      <c r="F868" t="s">
        <v>98</v>
      </c>
      <c r="G868">
        <v>-122.31581</v>
      </c>
      <c r="H868">
        <v>47.663110000000003</v>
      </c>
      <c r="I868" t="s">
        <v>858</v>
      </c>
      <c r="J868">
        <f t="shared" si="13"/>
        <v>1</v>
      </c>
      <c r="K868">
        <v>1</v>
      </c>
    </row>
    <row r="869" spans="1:11" x14ac:dyDescent="0.25">
      <c r="A869">
        <v>1703201</v>
      </c>
      <c r="B869">
        <v>250</v>
      </c>
      <c r="C869" t="s">
        <v>59</v>
      </c>
      <c r="D869" s="1">
        <v>42457.098611111112</v>
      </c>
      <c r="E869" t="s">
        <v>40</v>
      </c>
      <c r="F869" t="s">
        <v>115</v>
      </c>
      <c r="G869">
        <v>-122.309494</v>
      </c>
      <c r="H869">
        <v>47.615864000000002</v>
      </c>
      <c r="I869" t="s">
        <v>345</v>
      </c>
      <c r="J869">
        <f t="shared" si="13"/>
        <v>5</v>
      </c>
      <c r="K869">
        <v>1</v>
      </c>
    </row>
    <row r="870" spans="1:11" x14ac:dyDescent="0.25">
      <c r="A870">
        <v>1703202</v>
      </c>
      <c r="B870">
        <v>261</v>
      </c>
      <c r="C870" t="s">
        <v>207</v>
      </c>
      <c r="D870" s="1">
        <v>42457.093055555553</v>
      </c>
      <c r="E870" t="s">
        <v>71</v>
      </c>
      <c r="F870" t="s">
        <v>110</v>
      </c>
      <c r="G870">
        <v>-122.29248</v>
      </c>
      <c r="H870">
        <v>47.574750000000002</v>
      </c>
      <c r="I870" t="s">
        <v>859</v>
      </c>
      <c r="J870">
        <f t="shared" si="13"/>
        <v>2</v>
      </c>
      <c r="K870">
        <v>1</v>
      </c>
    </row>
    <row r="871" spans="1:11" x14ac:dyDescent="0.25">
      <c r="A871">
        <v>1703203</v>
      </c>
      <c r="B871">
        <v>280</v>
      </c>
      <c r="C871" t="s">
        <v>22</v>
      </c>
      <c r="D871" s="1">
        <v>42457.104166666664</v>
      </c>
      <c r="E871" t="s">
        <v>47</v>
      </c>
      <c r="F871" t="s">
        <v>177</v>
      </c>
      <c r="G871">
        <v>-122.327034</v>
      </c>
      <c r="H871">
        <v>47.608049999999999</v>
      </c>
      <c r="I871" t="s">
        <v>860</v>
      </c>
      <c r="J871">
        <f t="shared" si="13"/>
        <v>1</v>
      </c>
      <c r="K871">
        <v>2</v>
      </c>
    </row>
    <row r="872" spans="1:11" x14ac:dyDescent="0.25">
      <c r="A872">
        <v>1703204</v>
      </c>
      <c r="B872">
        <v>183</v>
      </c>
      <c r="C872" t="s">
        <v>861</v>
      </c>
      <c r="D872" s="1">
        <v>42457.102777777778</v>
      </c>
      <c r="E872" t="s">
        <v>130</v>
      </c>
      <c r="F872" t="s">
        <v>290</v>
      </c>
      <c r="G872">
        <v>-122.306175</v>
      </c>
      <c r="H872">
        <v>47.693935000000003</v>
      </c>
      <c r="I872" t="s">
        <v>862</v>
      </c>
      <c r="J872">
        <f t="shared" si="13"/>
        <v>1</v>
      </c>
      <c r="K872">
        <v>2</v>
      </c>
    </row>
    <row r="873" spans="1:11" x14ac:dyDescent="0.25">
      <c r="A873">
        <v>1703205</v>
      </c>
      <c r="B873">
        <v>71</v>
      </c>
      <c r="C873" t="s">
        <v>142</v>
      </c>
      <c r="D873" s="1">
        <v>42457.1</v>
      </c>
      <c r="E873" t="s">
        <v>64</v>
      </c>
      <c r="F873" t="s">
        <v>65</v>
      </c>
      <c r="G873">
        <v>-122.40951</v>
      </c>
      <c r="H873">
        <v>47.570749999999997</v>
      </c>
      <c r="I873" t="s">
        <v>863</v>
      </c>
      <c r="J873">
        <f t="shared" si="13"/>
        <v>1</v>
      </c>
      <c r="K873">
        <v>1</v>
      </c>
    </row>
    <row r="874" spans="1:11" x14ac:dyDescent="0.25">
      <c r="A874">
        <v>1703206</v>
      </c>
      <c r="B874">
        <v>53</v>
      </c>
      <c r="C874" t="s">
        <v>153</v>
      </c>
      <c r="D874" s="1">
        <v>42457.088194444441</v>
      </c>
      <c r="E874" t="s">
        <v>81</v>
      </c>
      <c r="F874" t="s">
        <v>154</v>
      </c>
      <c r="G874">
        <v>-122.32589</v>
      </c>
      <c r="H874">
        <v>47.640880000000003</v>
      </c>
      <c r="I874" t="s">
        <v>217</v>
      </c>
      <c r="J874">
        <f t="shared" si="13"/>
        <v>3</v>
      </c>
      <c r="K874">
        <v>1</v>
      </c>
    </row>
    <row r="875" spans="1:11" x14ac:dyDescent="0.25">
      <c r="A875">
        <v>1703207</v>
      </c>
      <c r="B875">
        <v>261</v>
      </c>
      <c r="C875" t="s">
        <v>207</v>
      </c>
      <c r="D875" s="1">
        <v>42457.109722222223</v>
      </c>
      <c r="E875" t="s">
        <v>11</v>
      </c>
      <c r="F875" t="s">
        <v>33</v>
      </c>
      <c r="G875">
        <v>-122.29248</v>
      </c>
      <c r="H875">
        <v>47.574750000000002</v>
      </c>
      <c r="I875" t="s">
        <v>859</v>
      </c>
      <c r="J875">
        <f t="shared" si="13"/>
        <v>2</v>
      </c>
      <c r="K875">
        <v>3</v>
      </c>
    </row>
    <row r="876" spans="1:11" x14ac:dyDescent="0.25">
      <c r="A876">
        <v>1703209</v>
      </c>
      <c r="B876">
        <v>244</v>
      </c>
      <c r="C876" t="s">
        <v>286</v>
      </c>
      <c r="D876" s="1">
        <v>42457.120833333334</v>
      </c>
      <c r="E876" t="s">
        <v>47</v>
      </c>
      <c r="F876" t="s">
        <v>90</v>
      </c>
      <c r="G876">
        <v>-122.32658000000001</v>
      </c>
      <c r="H876">
        <v>47.620826999999998</v>
      </c>
      <c r="I876" t="s">
        <v>864</v>
      </c>
      <c r="J876">
        <f t="shared" si="13"/>
        <v>1</v>
      </c>
      <c r="K876">
        <v>3</v>
      </c>
    </row>
    <row r="877" spans="1:11" x14ac:dyDescent="0.25">
      <c r="A877">
        <v>1703210</v>
      </c>
      <c r="B877">
        <v>280</v>
      </c>
      <c r="C877" t="s">
        <v>22</v>
      </c>
      <c r="D877" s="1">
        <v>42457.115972222222</v>
      </c>
      <c r="E877" t="s">
        <v>64</v>
      </c>
      <c r="F877" t="s">
        <v>215</v>
      </c>
      <c r="G877">
        <v>-122.34951</v>
      </c>
      <c r="H877">
        <v>47.571013999999998</v>
      </c>
      <c r="I877" t="s">
        <v>865</v>
      </c>
      <c r="J877">
        <f t="shared" si="13"/>
        <v>1</v>
      </c>
      <c r="K877">
        <v>2</v>
      </c>
    </row>
    <row r="878" spans="1:11" x14ac:dyDescent="0.25">
      <c r="A878">
        <v>1703211</v>
      </c>
      <c r="B878">
        <v>200</v>
      </c>
      <c r="C878" t="s">
        <v>187</v>
      </c>
      <c r="D878" s="1">
        <v>42457.111805555556</v>
      </c>
      <c r="E878" t="s">
        <v>47</v>
      </c>
      <c r="F878" t="s">
        <v>90</v>
      </c>
      <c r="G878">
        <v>-122.323944</v>
      </c>
      <c r="H878">
        <v>47.615226999999997</v>
      </c>
      <c r="I878" t="s">
        <v>866</v>
      </c>
      <c r="J878">
        <f t="shared" si="13"/>
        <v>1</v>
      </c>
      <c r="K878">
        <v>1</v>
      </c>
    </row>
    <row r="879" spans="1:11" x14ac:dyDescent="0.25">
      <c r="A879">
        <v>1703212</v>
      </c>
      <c r="B879">
        <v>161</v>
      </c>
      <c r="C879" t="s">
        <v>35</v>
      </c>
      <c r="D879" s="1">
        <v>42457.125694444447</v>
      </c>
      <c r="E879" t="s">
        <v>71</v>
      </c>
      <c r="F879" t="s">
        <v>126</v>
      </c>
      <c r="G879">
        <v>-122.3554</v>
      </c>
      <c r="H879">
        <v>47.625014999999998</v>
      </c>
      <c r="I879" t="s">
        <v>867</v>
      </c>
      <c r="J879">
        <f t="shared" si="13"/>
        <v>1</v>
      </c>
      <c r="K879">
        <v>3</v>
      </c>
    </row>
    <row r="880" spans="1:11" x14ac:dyDescent="0.25">
      <c r="A880">
        <v>1703213</v>
      </c>
      <c r="B880">
        <v>460</v>
      </c>
      <c r="C880" t="s">
        <v>18</v>
      </c>
      <c r="D880" s="1">
        <v>42457.118055555555</v>
      </c>
      <c r="E880" t="s">
        <v>23</v>
      </c>
      <c r="F880" t="s">
        <v>88</v>
      </c>
      <c r="G880">
        <v>-122.347595</v>
      </c>
      <c r="H880">
        <v>47.621437</v>
      </c>
      <c r="I880" t="s">
        <v>868</v>
      </c>
      <c r="J880">
        <f t="shared" si="13"/>
        <v>1</v>
      </c>
      <c r="K880">
        <v>2</v>
      </c>
    </row>
    <row r="881" spans="1:11" x14ac:dyDescent="0.25">
      <c r="A881">
        <v>1703214</v>
      </c>
      <c r="B881">
        <v>184</v>
      </c>
      <c r="C881" t="s">
        <v>149</v>
      </c>
      <c r="D881" s="1">
        <v>42457.119444444441</v>
      </c>
      <c r="E881" t="s">
        <v>81</v>
      </c>
      <c r="F881" t="s">
        <v>135</v>
      </c>
      <c r="G881">
        <v>-122.34921</v>
      </c>
      <c r="H881">
        <v>47.61497</v>
      </c>
      <c r="I881" t="s">
        <v>517</v>
      </c>
      <c r="J881">
        <f t="shared" si="13"/>
        <v>2</v>
      </c>
      <c r="K881">
        <v>1</v>
      </c>
    </row>
    <row r="882" spans="1:11" x14ac:dyDescent="0.25">
      <c r="A882">
        <v>1703215</v>
      </c>
      <c r="B882">
        <v>430</v>
      </c>
      <c r="C882" t="s">
        <v>70</v>
      </c>
      <c r="D882" s="1">
        <v>42457.127083333333</v>
      </c>
      <c r="E882" t="s">
        <v>15</v>
      </c>
      <c r="F882" t="s">
        <v>390</v>
      </c>
      <c r="G882">
        <v>-122.302216</v>
      </c>
      <c r="H882">
        <v>47.593803000000001</v>
      </c>
      <c r="I882" t="s">
        <v>869</v>
      </c>
      <c r="J882">
        <f t="shared" si="13"/>
        <v>1</v>
      </c>
      <c r="K882">
        <v>0</v>
      </c>
    </row>
    <row r="883" spans="1:11" x14ac:dyDescent="0.25">
      <c r="A883">
        <v>1703216</v>
      </c>
      <c r="B883">
        <v>184</v>
      </c>
      <c r="C883" t="s">
        <v>149</v>
      </c>
      <c r="D883" s="1">
        <v>42457.119444444441</v>
      </c>
      <c r="E883" t="s">
        <v>67</v>
      </c>
      <c r="F883" t="s">
        <v>193</v>
      </c>
      <c r="G883">
        <v>-122.33835000000001</v>
      </c>
      <c r="H883">
        <v>47.609515999999999</v>
      </c>
      <c r="I883" t="s">
        <v>366</v>
      </c>
      <c r="J883">
        <f t="shared" si="13"/>
        <v>8</v>
      </c>
      <c r="K883">
        <v>2</v>
      </c>
    </row>
    <row r="884" spans="1:11" x14ac:dyDescent="0.25">
      <c r="A884">
        <v>1703217</v>
      </c>
      <c r="B884">
        <v>245</v>
      </c>
      <c r="C884" t="s">
        <v>32</v>
      </c>
      <c r="D884" s="1">
        <v>42457.129861111112</v>
      </c>
      <c r="E884" t="s">
        <v>23</v>
      </c>
      <c r="F884" t="s">
        <v>88</v>
      </c>
      <c r="G884">
        <v>-122.34961</v>
      </c>
      <c r="H884">
        <v>47.619163999999998</v>
      </c>
      <c r="I884" t="s">
        <v>870</v>
      </c>
      <c r="J884">
        <f t="shared" si="13"/>
        <v>1</v>
      </c>
      <c r="K884">
        <v>1</v>
      </c>
    </row>
    <row r="885" spans="1:11" x14ac:dyDescent="0.25">
      <c r="A885">
        <v>1703218</v>
      </c>
      <c r="B885">
        <v>40</v>
      </c>
      <c r="C885" t="s">
        <v>119</v>
      </c>
      <c r="D885" s="1">
        <v>42457.131249999999</v>
      </c>
      <c r="E885" t="s">
        <v>29</v>
      </c>
      <c r="F885" t="s">
        <v>55</v>
      </c>
      <c r="G885">
        <v>-122.26999000000001</v>
      </c>
      <c r="H885">
        <v>47.523308</v>
      </c>
      <c r="I885" t="s">
        <v>871</v>
      </c>
      <c r="J885">
        <f t="shared" si="13"/>
        <v>1</v>
      </c>
      <c r="K885">
        <v>1</v>
      </c>
    </row>
    <row r="886" spans="1:11" x14ac:dyDescent="0.25">
      <c r="A886">
        <v>1703219</v>
      </c>
      <c r="B886">
        <v>460</v>
      </c>
      <c r="C886" t="s">
        <v>18</v>
      </c>
      <c r="D886" s="1">
        <v>42457.133333333331</v>
      </c>
      <c r="E886" t="s">
        <v>47</v>
      </c>
      <c r="F886" t="s">
        <v>48</v>
      </c>
      <c r="G886">
        <v>-122.32076000000001</v>
      </c>
      <c r="H886">
        <v>47.612960000000001</v>
      </c>
      <c r="I886" t="s">
        <v>872</v>
      </c>
      <c r="J886">
        <f t="shared" si="13"/>
        <v>2</v>
      </c>
      <c r="K886">
        <v>2</v>
      </c>
    </row>
    <row r="887" spans="1:11" x14ac:dyDescent="0.25">
      <c r="A887">
        <v>1703220</v>
      </c>
      <c r="B887">
        <v>220</v>
      </c>
      <c r="C887" t="s">
        <v>173</v>
      </c>
      <c r="D887" s="1">
        <v>42457.136111111111</v>
      </c>
      <c r="E887" t="s">
        <v>130</v>
      </c>
      <c r="F887" t="s">
        <v>290</v>
      </c>
      <c r="G887">
        <v>-122.32463</v>
      </c>
      <c r="H887">
        <v>47.702309999999997</v>
      </c>
      <c r="I887" t="s">
        <v>873</v>
      </c>
      <c r="J887">
        <f t="shared" si="13"/>
        <v>1</v>
      </c>
      <c r="K887">
        <v>1</v>
      </c>
    </row>
    <row r="888" spans="1:11" x14ac:dyDescent="0.25">
      <c r="A888">
        <v>1703221</v>
      </c>
      <c r="B888">
        <v>40</v>
      </c>
      <c r="C888" t="s">
        <v>119</v>
      </c>
      <c r="D888" s="1">
        <v>42457.13958333333</v>
      </c>
      <c r="E888" t="s">
        <v>47</v>
      </c>
      <c r="F888" t="s">
        <v>48</v>
      </c>
      <c r="G888">
        <v>-122.31945</v>
      </c>
      <c r="H888">
        <v>47.614082000000003</v>
      </c>
      <c r="I888" t="s">
        <v>874</v>
      </c>
      <c r="J888">
        <f t="shared" si="13"/>
        <v>1</v>
      </c>
      <c r="K888">
        <v>2</v>
      </c>
    </row>
    <row r="889" spans="1:11" x14ac:dyDescent="0.25">
      <c r="A889">
        <v>1703222</v>
      </c>
      <c r="B889">
        <v>280</v>
      </c>
      <c r="C889" t="s">
        <v>22</v>
      </c>
      <c r="D889" s="1">
        <v>42457.145138888889</v>
      </c>
      <c r="E889" t="s">
        <v>40</v>
      </c>
      <c r="F889" t="s">
        <v>151</v>
      </c>
      <c r="G889">
        <v>-122.29987</v>
      </c>
      <c r="H889">
        <v>47.620586000000003</v>
      </c>
      <c r="I889" t="s">
        <v>875</v>
      </c>
      <c r="J889">
        <f t="shared" si="13"/>
        <v>1</v>
      </c>
      <c r="K889">
        <v>2</v>
      </c>
    </row>
    <row r="890" spans="1:11" x14ac:dyDescent="0.25">
      <c r="A890">
        <v>1703223</v>
      </c>
      <c r="B890">
        <v>280</v>
      </c>
      <c r="C890" t="s">
        <v>22</v>
      </c>
      <c r="D890" s="1">
        <v>42457.13958333333</v>
      </c>
      <c r="E890" t="s">
        <v>81</v>
      </c>
      <c r="F890" t="s">
        <v>154</v>
      </c>
      <c r="G890">
        <v>-122.3259</v>
      </c>
      <c r="H890">
        <v>47.637509999999999</v>
      </c>
      <c r="I890" t="s">
        <v>876</v>
      </c>
      <c r="J890">
        <f t="shared" si="13"/>
        <v>1</v>
      </c>
      <c r="K890">
        <v>4</v>
      </c>
    </row>
    <row r="891" spans="1:11" x14ac:dyDescent="0.25">
      <c r="A891">
        <v>1703224</v>
      </c>
      <c r="B891">
        <v>245</v>
      </c>
      <c r="C891" t="s">
        <v>32</v>
      </c>
      <c r="D891" s="1">
        <v>42456.731944444444</v>
      </c>
      <c r="E891" t="s">
        <v>15</v>
      </c>
      <c r="F891" t="s">
        <v>390</v>
      </c>
      <c r="G891">
        <v>-122.31723</v>
      </c>
      <c r="H891">
        <v>47.59834</v>
      </c>
      <c r="I891" t="s">
        <v>877</v>
      </c>
      <c r="J891">
        <f t="shared" si="13"/>
        <v>1</v>
      </c>
      <c r="K891">
        <v>1</v>
      </c>
    </row>
    <row r="892" spans="1:11" x14ac:dyDescent="0.25">
      <c r="A892">
        <v>1703225</v>
      </c>
      <c r="B892">
        <v>161</v>
      </c>
      <c r="C892" t="s">
        <v>35</v>
      </c>
      <c r="D892" s="1">
        <v>42457.147916666669</v>
      </c>
      <c r="E892" t="s">
        <v>81</v>
      </c>
      <c r="F892" t="s">
        <v>154</v>
      </c>
      <c r="G892">
        <v>-122.33337</v>
      </c>
      <c r="H892">
        <v>47.617330000000003</v>
      </c>
      <c r="I892" t="s">
        <v>437</v>
      </c>
      <c r="J892">
        <f t="shared" si="13"/>
        <v>3</v>
      </c>
      <c r="K892">
        <v>1</v>
      </c>
    </row>
    <row r="893" spans="1:11" x14ac:dyDescent="0.25">
      <c r="A893">
        <v>1703226</v>
      </c>
      <c r="B893">
        <v>280</v>
      </c>
      <c r="C893" t="s">
        <v>22</v>
      </c>
      <c r="D893" s="1">
        <v>42457.163194444445</v>
      </c>
      <c r="E893" t="s">
        <v>130</v>
      </c>
      <c r="F893" t="s">
        <v>290</v>
      </c>
      <c r="G893">
        <v>-122.31623999999999</v>
      </c>
      <c r="H893">
        <v>47.698554999999999</v>
      </c>
      <c r="I893" t="s">
        <v>878</v>
      </c>
      <c r="J893">
        <f t="shared" si="13"/>
        <v>1</v>
      </c>
      <c r="K893">
        <v>1</v>
      </c>
    </row>
    <row r="894" spans="1:11" x14ac:dyDescent="0.25">
      <c r="A894">
        <v>1703227</v>
      </c>
      <c r="B894">
        <v>460</v>
      </c>
      <c r="C894" t="s">
        <v>18</v>
      </c>
      <c r="D894" s="1">
        <v>42457.158333333333</v>
      </c>
      <c r="E894" t="s">
        <v>11</v>
      </c>
      <c r="F894" t="s">
        <v>33</v>
      </c>
      <c r="G894">
        <v>-122.29300000000001</v>
      </c>
      <c r="H894">
        <v>47.578341999999999</v>
      </c>
      <c r="I894" t="s">
        <v>879</v>
      </c>
      <c r="J894">
        <f t="shared" si="13"/>
        <v>1</v>
      </c>
      <c r="K894">
        <v>3</v>
      </c>
    </row>
    <row r="895" spans="1:11" x14ac:dyDescent="0.25">
      <c r="A895">
        <v>1703228</v>
      </c>
      <c r="B895">
        <v>177</v>
      </c>
      <c r="C895" t="s">
        <v>61</v>
      </c>
      <c r="D895" s="1">
        <v>42457.165972222225</v>
      </c>
      <c r="E895" t="s">
        <v>47</v>
      </c>
      <c r="F895" t="s">
        <v>90</v>
      </c>
      <c r="G895">
        <v>-122.32286000000001</v>
      </c>
      <c r="H895">
        <v>47.618729999999999</v>
      </c>
      <c r="I895" t="s">
        <v>880</v>
      </c>
      <c r="J895">
        <f t="shared" si="13"/>
        <v>2</v>
      </c>
      <c r="K895">
        <v>1</v>
      </c>
    </row>
    <row r="896" spans="1:11" x14ac:dyDescent="0.25">
      <c r="A896">
        <v>1703229</v>
      </c>
      <c r="B896">
        <v>460</v>
      </c>
      <c r="C896" t="s">
        <v>18</v>
      </c>
      <c r="D896" s="1">
        <v>42457.172222222223</v>
      </c>
      <c r="E896" t="s">
        <v>23</v>
      </c>
      <c r="F896" t="s">
        <v>189</v>
      </c>
      <c r="G896">
        <v>-122.37627000000001</v>
      </c>
      <c r="H896">
        <v>47.645663999999996</v>
      </c>
      <c r="I896" t="s">
        <v>881</v>
      </c>
      <c r="J896">
        <f t="shared" si="13"/>
        <v>1</v>
      </c>
      <c r="K896">
        <v>1</v>
      </c>
    </row>
    <row r="897" spans="1:11" x14ac:dyDescent="0.25">
      <c r="A897">
        <v>1703230</v>
      </c>
      <c r="B897">
        <v>244</v>
      </c>
      <c r="C897" t="s">
        <v>286</v>
      </c>
      <c r="D897" s="1">
        <v>42457.174305555556</v>
      </c>
      <c r="E897" t="s">
        <v>19</v>
      </c>
      <c r="F897" t="s">
        <v>349</v>
      </c>
      <c r="G897">
        <v>-122.3201</v>
      </c>
      <c r="H897">
        <v>47.545720000000003</v>
      </c>
      <c r="I897" t="s">
        <v>882</v>
      </c>
      <c r="J897">
        <f t="shared" si="13"/>
        <v>1</v>
      </c>
      <c r="K897">
        <v>1</v>
      </c>
    </row>
    <row r="898" spans="1:11" x14ac:dyDescent="0.25">
      <c r="A898">
        <v>1703231</v>
      </c>
      <c r="B898">
        <v>201</v>
      </c>
      <c r="C898" t="s">
        <v>36</v>
      </c>
      <c r="D898" s="1">
        <v>42457.168055555558</v>
      </c>
      <c r="E898" t="s">
        <v>71</v>
      </c>
      <c r="F898" t="s">
        <v>110</v>
      </c>
      <c r="G898">
        <v>-122.30898000000001</v>
      </c>
      <c r="H898">
        <v>47.670200000000001</v>
      </c>
      <c r="I898" t="s">
        <v>883</v>
      </c>
      <c r="J898">
        <f t="shared" ref="J898:J961" si="14">COUNTIF($I$2:$I$1046,I898)</f>
        <v>1</v>
      </c>
      <c r="K898">
        <v>2</v>
      </c>
    </row>
    <row r="899" spans="1:11" x14ac:dyDescent="0.25">
      <c r="A899">
        <v>1703232</v>
      </c>
      <c r="B899">
        <v>460</v>
      </c>
      <c r="C899" t="s">
        <v>18</v>
      </c>
      <c r="D899" s="1">
        <v>42457.184027777781</v>
      </c>
      <c r="E899" t="s">
        <v>23</v>
      </c>
      <c r="F899" t="s">
        <v>189</v>
      </c>
      <c r="G899">
        <v>-122.372086</v>
      </c>
      <c r="H899">
        <v>47.629435999999998</v>
      </c>
      <c r="I899" t="s">
        <v>534</v>
      </c>
      <c r="J899">
        <f t="shared" si="14"/>
        <v>2</v>
      </c>
      <c r="K899">
        <v>2</v>
      </c>
    </row>
    <row r="900" spans="1:11" x14ac:dyDescent="0.25">
      <c r="A900">
        <v>1703233</v>
      </c>
      <c r="B900">
        <v>200</v>
      </c>
      <c r="C900" t="s">
        <v>187</v>
      </c>
      <c r="D900" s="1">
        <v>42457.181250000001</v>
      </c>
      <c r="E900" t="s">
        <v>67</v>
      </c>
      <c r="F900" t="s">
        <v>100</v>
      </c>
      <c r="G900">
        <v>-122.34063</v>
      </c>
      <c r="H900">
        <v>47.608722999999998</v>
      </c>
      <c r="I900" t="s">
        <v>884</v>
      </c>
      <c r="J900">
        <f t="shared" si="14"/>
        <v>2</v>
      </c>
      <c r="K900">
        <v>2</v>
      </c>
    </row>
    <row r="901" spans="1:11" x14ac:dyDescent="0.25">
      <c r="A901">
        <v>1703234</v>
      </c>
      <c r="B901">
        <v>244</v>
      </c>
      <c r="C901" t="s">
        <v>286</v>
      </c>
      <c r="D901" s="1">
        <v>42457.18472222222</v>
      </c>
      <c r="E901" t="s">
        <v>71</v>
      </c>
      <c r="F901" t="s">
        <v>72</v>
      </c>
      <c r="G901">
        <v>-122.35512</v>
      </c>
      <c r="H901">
        <v>47.521949999999997</v>
      </c>
      <c r="I901" t="s">
        <v>885</v>
      </c>
      <c r="J901">
        <f t="shared" si="14"/>
        <v>1</v>
      </c>
      <c r="K901">
        <v>1</v>
      </c>
    </row>
    <row r="902" spans="1:11" x14ac:dyDescent="0.25">
      <c r="A902">
        <v>1703235</v>
      </c>
      <c r="B902">
        <v>200</v>
      </c>
      <c r="C902" t="s">
        <v>187</v>
      </c>
      <c r="D902" s="1">
        <v>42457.181250000001</v>
      </c>
      <c r="E902" t="s">
        <v>67</v>
      </c>
      <c r="F902" t="s">
        <v>100</v>
      </c>
      <c r="G902">
        <v>-122.34063</v>
      </c>
      <c r="H902">
        <v>47.608722999999998</v>
      </c>
      <c r="I902" t="s">
        <v>884</v>
      </c>
      <c r="J902">
        <f t="shared" si="14"/>
        <v>2</v>
      </c>
      <c r="K902">
        <v>4</v>
      </c>
    </row>
    <row r="903" spans="1:11" x14ac:dyDescent="0.25">
      <c r="A903">
        <v>1703236</v>
      </c>
      <c r="B903">
        <v>53</v>
      </c>
      <c r="C903" t="s">
        <v>153</v>
      </c>
      <c r="D903" s="1">
        <v>42457.188888888886</v>
      </c>
      <c r="E903" t="s">
        <v>23</v>
      </c>
      <c r="F903" t="s">
        <v>189</v>
      </c>
      <c r="G903">
        <v>-122.34423</v>
      </c>
      <c r="H903">
        <v>47.630585000000004</v>
      </c>
      <c r="I903" t="s">
        <v>886</v>
      </c>
      <c r="J903">
        <f t="shared" si="14"/>
        <v>1</v>
      </c>
      <c r="K903">
        <v>1</v>
      </c>
    </row>
    <row r="904" spans="1:11" x14ac:dyDescent="0.25">
      <c r="A904">
        <v>1703237</v>
      </c>
      <c r="B904">
        <v>281</v>
      </c>
      <c r="C904" t="s">
        <v>26</v>
      </c>
      <c r="D904" s="1">
        <v>42457.1875</v>
      </c>
      <c r="E904" t="s">
        <v>52</v>
      </c>
      <c r="F904" t="s">
        <v>53</v>
      </c>
      <c r="G904">
        <v>-122.345856</v>
      </c>
      <c r="H904">
        <v>47.686942999999999</v>
      </c>
      <c r="I904" t="s">
        <v>887</v>
      </c>
      <c r="J904">
        <f t="shared" si="14"/>
        <v>1</v>
      </c>
      <c r="K904">
        <v>0</v>
      </c>
    </row>
    <row r="905" spans="1:11" x14ac:dyDescent="0.25">
      <c r="A905">
        <v>1703238</v>
      </c>
      <c r="B905">
        <v>244</v>
      </c>
      <c r="C905" t="s">
        <v>286</v>
      </c>
      <c r="D905" s="1">
        <v>42457.189583333333</v>
      </c>
      <c r="E905" t="s">
        <v>130</v>
      </c>
      <c r="F905" t="s">
        <v>272</v>
      </c>
      <c r="G905">
        <v>-122.30458</v>
      </c>
      <c r="H905">
        <v>47.725673999999998</v>
      </c>
      <c r="I905" t="s">
        <v>793</v>
      </c>
      <c r="J905">
        <f t="shared" si="14"/>
        <v>3</v>
      </c>
      <c r="K905">
        <v>1</v>
      </c>
    </row>
    <row r="906" spans="1:11" x14ac:dyDescent="0.25">
      <c r="A906">
        <v>1703239</v>
      </c>
      <c r="B906">
        <v>280</v>
      </c>
      <c r="C906" t="s">
        <v>22</v>
      </c>
      <c r="D906" s="1">
        <v>42457.195138888892</v>
      </c>
      <c r="E906" t="s">
        <v>52</v>
      </c>
      <c r="F906" t="s">
        <v>53</v>
      </c>
      <c r="G906">
        <v>-122.33222000000001</v>
      </c>
      <c r="H906">
        <v>47.672910000000002</v>
      </c>
      <c r="I906" t="s">
        <v>888</v>
      </c>
      <c r="J906">
        <f t="shared" si="14"/>
        <v>1</v>
      </c>
      <c r="K906">
        <v>2</v>
      </c>
    </row>
    <row r="907" spans="1:11" x14ac:dyDescent="0.25">
      <c r="A907">
        <v>1703240</v>
      </c>
      <c r="B907">
        <v>50</v>
      </c>
      <c r="C907" t="s">
        <v>211</v>
      </c>
      <c r="D907" s="1">
        <v>42457.19027777778</v>
      </c>
      <c r="E907" t="s">
        <v>95</v>
      </c>
      <c r="F907" t="s">
        <v>367</v>
      </c>
      <c r="G907">
        <v>-122.30987500000001</v>
      </c>
      <c r="H907">
        <v>47.680325000000003</v>
      </c>
      <c r="I907" t="s">
        <v>889</v>
      </c>
      <c r="J907">
        <f t="shared" si="14"/>
        <v>1</v>
      </c>
      <c r="K907">
        <v>4</v>
      </c>
    </row>
    <row r="908" spans="1:11" x14ac:dyDescent="0.25">
      <c r="A908">
        <v>1703241</v>
      </c>
      <c r="B908">
        <v>350</v>
      </c>
      <c r="C908" t="s">
        <v>76</v>
      </c>
      <c r="D908" s="1">
        <v>42457.197916666664</v>
      </c>
      <c r="E908" t="s">
        <v>29</v>
      </c>
      <c r="F908" t="s">
        <v>30</v>
      </c>
      <c r="G908">
        <v>-122.25875000000001</v>
      </c>
      <c r="H908">
        <v>47.509697000000003</v>
      </c>
      <c r="I908" t="s">
        <v>890</v>
      </c>
      <c r="J908">
        <f t="shared" si="14"/>
        <v>1</v>
      </c>
      <c r="K908">
        <v>1</v>
      </c>
    </row>
    <row r="909" spans="1:11" x14ac:dyDescent="0.25">
      <c r="A909">
        <v>1703242</v>
      </c>
      <c r="B909">
        <v>450</v>
      </c>
      <c r="C909" t="s">
        <v>266</v>
      </c>
      <c r="D909" s="1">
        <v>42457.200694444444</v>
      </c>
      <c r="E909" t="s">
        <v>47</v>
      </c>
      <c r="F909" t="s">
        <v>177</v>
      </c>
      <c r="G909">
        <v>-122.32446</v>
      </c>
      <c r="H909">
        <v>47.614089999999997</v>
      </c>
      <c r="I909" t="s">
        <v>891</v>
      </c>
      <c r="J909">
        <f t="shared" si="14"/>
        <v>1</v>
      </c>
      <c r="K909">
        <v>3</v>
      </c>
    </row>
    <row r="910" spans="1:11" x14ac:dyDescent="0.25">
      <c r="A910">
        <v>1703243</v>
      </c>
      <c r="B910">
        <v>281</v>
      </c>
      <c r="C910" t="s">
        <v>26</v>
      </c>
      <c r="D910" s="1">
        <v>42457.209722222222</v>
      </c>
      <c r="E910" t="s">
        <v>145</v>
      </c>
      <c r="F910" t="s">
        <v>305</v>
      </c>
      <c r="G910">
        <v>-122.34506</v>
      </c>
      <c r="H910">
        <v>47.731037000000001</v>
      </c>
      <c r="I910" t="s">
        <v>892</v>
      </c>
      <c r="J910">
        <f t="shared" si="14"/>
        <v>1</v>
      </c>
      <c r="K910">
        <v>0</v>
      </c>
    </row>
    <row r="911" spans="1:11" x14ac:dyDescent="0.25">
      <c r="A911">
        <v>1703244</v>
      </c>
      <c r="B911">
        <v>470</v>
      </c>
      <c r="C911" t="s">
        <v>14</v>
      </c>
      <c r="D911" s="1">
        <v>42457.211805555555</v>
      </c>
      <c r="E911" t="s">
        <v>52</v>
      </c>
      <c r="F911" t="s">
        <v>120</v>
      </c>
      <c r="G911">
        <v>-122.40045000000001</v>
      </c>
      <c r="H911">
        <v>47.696804</v>
      </c>
      <c r="I911" t="s">
        <v>893</v>
      </c>
      <c r="J911">
        <f t="shared" si="14"/>
        <v>1</v>
      </c>
      <c r="K911">
        <v>1</v>
      </c>
    </row>
    <row r="912" spans="1:11" x14ac:dyDescent="0.25">
      <c r="A912">
        <v>1703245</v>
      </c>
      <c r="B912">
        <v>245</v>
      </c>
      <c r="C912" t="s">
        <v>32</v>
      </c>
      <c r="D912" s="1">
        <v>42457.209027777775</v>
      </c>
      <c r="E912" t="s">
        <v>47</v>
      </c>
      <c r="F912" t="s">
        <v>48</v>
      </c>
      <c r="G912">
        <v>-122.31946600000001</v>
      </c>
      <c r="H912">
        <v>47.615242000000002</v>
      </c>
      <c r="I912" t="s">
        <v>894</v>
      </c>
      <c r="J912">
        <f t="shared" si="14"/>
        <v>1</v>
      </c>
      <c r="K912">
        <v>0</v>
      </c>
    </row>
    <row r="913" spans="1:11" x14ac:dyDescent="0.25">
      <c r="A913">
        <v>1703246</v>
      </c>
      <c r="B913">
        <v>201</v>
      </c>
      <c r="C913" t="s">
        <v>36</v>
      </c>
      <c r="D913" s="1">
        <v>42457.208333333336</v>
      </c>
      <c r="E913" t="s">
        <v>145</v>
      </c>
      <c r="F913" t="s">
        <v>314</v>
      </c>
      <c r="G913">
        <v>-122.376755</v>
      </c>
      <c r="H913">
        <v>47.704279999999997</v>
      </c>
      <c r="I913" t="s">
        <v>441</v>
      </c>
      <c r="J913">
        <f t="shared" si="14"/>
        <v>2</v>
      </c>
      <c r="K913">
        <v>0</v>
      </c>
    </row>
    <row r="914" spans="1:11" x14ac:dyDescent="0.25">
      <c r="A914">
        <v>1703247</v>
      </c>
      <c r="B914">
        <v>220</v>
      </c>
      <c r="C914" t="s">
        <v>173</v>
      </c>
      <c r="D914" s="1">
        <v>42457.211805555555</v>
      </c>
      <c r="E914" t="s">
        <v>95</v>
      </c>
      <c r="F914" t="s">
        <v>367</v>
      </c>
      <c r="G914">
        <v>-122.31307</v>
      </c>
      <c r="H914">
        <v>47.664898000000001</v>
      </c>
      <c r="I914" t="s">
        <v>895</v>
      </c>
      <c r="J914">
        <f t="shared" si="14"/>
        <v>1</v>
      </c>
      <c r="K914">
        <v>2</v>
      </c>
    </row>
    <row r="915" spans="1:11" x14ac:dyDescent="0.25">
      <c r="A915">
        <v>1703248</v>
      </c>
      <c r="B915">
        <v>177</v>
      </c>
      <c r="C915" t="s">
        <v>61</v>
      </c>
      <c r="D915" s="1">
        <v>42457.222916666666</v>
      </c>
      <c r="E915" t="s">
        <v>43</v>
      </c>
      <c r="F915" t="s">
        <v>44</v>
      </c>
      <c r="G915">
        <v>-122.33081</v>
      </c>
      <c r="H915">
        <v>47.600464000000002</v>
      </c>
      <c r="I915" t="s">
        <v>45</v>
      </c>
      <c r="J915">
        <f t="shared" si="14"/>
        <v>17</v>
      </c>
      <c r="K915">
        <v>2</v>
      </c>
    </row>
    <row r="916" spans="1:11" x14ac:dyDescent="0.25">
      <c r="A916">
        <v>1703249</v>
      </c>
      <c r="B916">
        <v>460</v>
      </c>
      <c r="C916" t="s">
        <v>18</v>
      </c>
      <c r="D916" s="1">
        <v>42457.219444444447</v>
      </c>
      <c r="E916" t="s">
        <v>11</v>
      </c>
      <c r="F916" t="s">
        <v>12</v>
      </c>
      <c r="G916">
        <v>-122.28649</v>
      </c>
      <c r="H916">
        <v>47.560110000000002</v>
      </c>
      <c r="I916" t="s">
        <v>896</v>
      </c>
      <c r="J916">
        <f t="shared" si="14"/>
        <v>1</v>
      </c>
      <c r="K916">
        <v>4</v>
      </c>
    </row>
    <row r="917" spans="1:11" x14ac:dyDescent="0.25">
      <c r="A917">
        <v>1703250</v>
      </c>
      <c r="B917">
        <v>244</v>
      </c>
      <c r="C917" t="s">
        <v>286</v>
      </c>
      <c r="D917" s="1">
        <v>42457.224305555559</v>
      </c>
      <c r="E917" t="s">
        <v>43</v>
      </c>
      <c r="F917" t="s">
        <v>218</v>
      </c>
      <c r="G917">
        <v>-122.331085</v>
      </c>
      <c r="H917">
        <v>47.602412999999999</v>
      </c>
      <c r="I917" t="s">
        <v>433</v>
      </c>
      <c r="J917">
        <f t="shared" si="14"/>
        <v>8</v>
      </c>
      <c r="K917">
        <v>4</v>
      </c>
    </row>
    <row r="918" spans="1:11" x14ac:dyDescent="0.25">
      <c r="A918">
        <v>1703251</v>
      </c>
      <c r="B918">
        <v>201</v>
      </c>
      <c r="C918" t="s">
        <v>36</v>
      </c>
      <c r="D918" s="1">
        <v>42457.21597222222</v>
      </c>
      <c r="E918" t="s">
        <v>71</v>
      </c>
      <c r="F918" t="s">
        <v>72</v>
      </c>
      <c r="G918">
        <v>-122.34495</v>
      </c>
      <c r="H918">
        <v>47.630997000000001</v>
      </c>
      <c r="I918" t="s">
        <v>897</v>
      </c>
      <c r="J918">
        <f t="shared" si="14"/>
        <v>1</v>
      </c>
      <c r="K918">
        <v>1</v>
      </c>
    </row>
    <row r="919" spans="1:11" x14ac:dyDescent="0.25">
      <c r="A919">
        <v>1703252</v>
      </c>
      <c r="B919">
        <v>460</v>
      </c>
      <c r="C919" t="s">
        <v>18</v>
      </c>
      <c r="D919" s="1">
        <v>42457.229166666664</v>
      </c>
      <c r="E919" t="s">
        <v>11</v>
      </c>
      <c r="F919" t="s">
        <v>33</v>
      </c>
      <c r="G919">
        <v>-122.3022</v>
      </c>
      <c r="H919">
        <v>47.583655999999998</v>
      </c>
      <c r="I919" t="s">
        <v>898</v>
      </c>
      <c r="J919">
        <f t="shared" si="14"/>
        <v>1</v>
      </c>
      <c r="K919">
        <v>0</v>
      </c>
    </row>
    <row r="920" spans="1:11" x14ac:dyDescent="0.25">
      <c r="A920">
        <v>1703253</v>
      </c>
      <c r="B920">
        <v>430</v>
      </c>
      <c r="C920" t="s">
        <v>70</v>
      </c>
      <c r="D920" s="1">
        <v>42457.222916666666</v>
      </c>
      <c r="E920" t="s">
        <v>64</v>
      </c>
      <c r="F920" t="s">
        <v>215</v>
      </c>
      <c r="G920">
        <v>-122.366</v>
      </c>
      <c r="H920">
        <v>47.571373000000001</v>
      </c>
      <c r="I920" t="s">
        <v>899</v>
      </c>
      <c r="J920">
        <f t="shared" si="14"/>
        <v>1</v>
      </c>
      <c r="K920">
        <v>0</v>
      </c>
    </row>
    <row r="921" spans="1:11" x14ac:dyDescent="0.25">
      <c r="A921">
        <v>1703254</v>
      </c>
      <c r="B921">
        <v>465</v>
      </c>
      <c r="C921" t="s">
        <v>645</v>
      </c>
      <c r="D921" s="1">
        <v>42457.224999999999</v>
      </c>
      <c r="E921" t="s">
        <v>67</v>
      </c>
      <c r="F921" t="s">
        <v>193</v>
      </c>
      <c r="G921">
        <v>-122.33779</v>
      </c>
      <c r="H921">
        <v>47.609749999999998</v>
      </c>
      <c r="I921" t="s">
        <v>829</v>
      </c>
      <c r="J921">
        <f t="shared" si="14"/>
        <v>2</v>
      </c>
      <c r="K921">
        <v>0</v>
      </c>
    </row>
    <row r="922" spans="1:11" x14ac:dyDescent="0.25">
      <c r="A922">
        <v>1703255</v>
      </c>
      <c r="B922">
        <v>244</v>
      </c>
      <c r="C922" t="s">
        <v>286</v>
      </c>
      <c r="D922" s="1">
        <v>42457.231944444444</v>
      </c>
      <c r="E922" t="s">
        <v>78</v>
      </c>
      <c r="F922" t="s">
        <v>79</v>
      </c>
      <c r="G922">
        <v>-122.376335</v>
      </c>
      <c r="H922">
        <v>47.662205</v>
      </c>
      <c r="I922" t="s">
        <v>261</v>
      </c>
      <c r="J922">
        <f t="shared" si="14"/>
        <v>3</v>
      </c>
      <c r="K922">
        <v>4</v>
      </c>
    </row>
    <row r="923" spans="1:11" x14ac:dyDescent="0.25">
      <c r="A923">
        <v>1703256</v>
      </c>
      <c r="B923">
        <v>245</v>
      </c>
      <c r="C923" t="s">
        <v>32</v>
      </c>
      <c r="D923" s="1">
        <v>42457.242361111108</v>
      </c>
      <c r="E923" t="s">
        <v>130</v>
      </c>
      <c r="F923" t="s">
        <v>272</v>
      </c>
      <c r="G923">
        <v>-122.31003</v>
      </c>
      <c r="H923">
        <v>47.732093999999996</v>
      </c>
      <c r="I923" t="s">
        <v>900</v>
      </c>
      <c r="J923">
        <f t="shared" si="14"/>
        <v>1</v>
      </c>
      <c r="K923">
        <v>4</v>
      </c>
    </row>
    <row r="924" spans="1:11" x14ac:dyDescent="0.25">
      <c r="A924">
        <v>1703257</v>
      </c>
      <c r="B924">
        <v>282</v>
      </c>
      <c r="C924" t="s">
        <v>486</v>
      </c>
      <c r="D924" s="1">
        <v>42457.243750000001</v>
      </c>
      <c r="E924" t="s">
        <v>104</v>
      </c>
      <c r="F924" t="s">
        <v>105</v>
      </c>
      <c r="G924">
        <v>-122.34672500000001</v>
      </c>
      <c r="H924">
        <v>47.521892999999999</v>
      </c>
      <c r="I924" t="s">
        <v>901</v>
      </c>
      <c r="J924">
        <f t="shared" si="14"/>
        <v>1</v>
      </c>
      <c r="K924">
        <v>1</v>
      </c>
    </row>
    <row r="925" spans="1:11" x14ac:dyDescent="0.25">
      <c r="A925">
        <v>1703258</v>
      </c>
      <c r="B925">
        <v>245</v>
      </c>
      <c r="C925" t="s">
        <v>32</v>
      </c>
      <c r="D925" s="1">
        <v>42457.252083333333</v>
      </c>
      <c r="E925" t="s">
        <v>47</v>
      </c>
      <c r="F925" t="s">
        <v>177</v>
      </c>
      <c r="G925">
        <v>-122.32792000000001</v>
      </c>
      <c r="H925">
        <v>47.608176999999998</v>
      </c>
      <c r="I925" t="s">
        <v>902</v>
      </c>
      <c r="J925">
        <f t="shared" si="14"/>
        <v>1</v>
      </c>
      <c r="K925">
        <v>1</v>
      </c>
    </row>
    <row r="926" spans="1:11" x14ac:dyDescent="0.25">
      <c r="A926">
        <v>1703259</v>
      </c>
      <c r="B926">
        <v>245</v>
      </c>
      <c r="C926" t="s">
        <v>32</v>
      </c>
      <c r="D926" s="1">
        <v>42457.252083333333</v>
      </c>
      <c r="E926" t="s">
        <v>43</v>
      </c>
      <c r="F926" t="s">
        <v>44</v>
      </c>
      <c r="G926">
        <v>-122.32919</v>
      </c>
      <c r="H926">
        <v>47.602040000000002</v>
      </c>
      <c r="I926" t="s">
        <v>903</v>
      </c>
      <c r="J926">
        <f t="shared" si="14"/>
        <v>1</v>
      </c>
      <c r="K926">
        <v>3</v>
      </c>
    </row>
    <row r="927" spans="1:11" x14ac:dyDescent="0.25">
      <c r="A927">
        <v>1703260</v>
      </c>
      <c r="B927">
        <v>460</v>
      </c>
      <c r="C927" t="s">
        <v>18</v>
      </c>
      <c r="D927" s="1">
        <v>42457.249305555553</v>
      </c>
      <c r="E927" t="s">
        <v>11</v>
      </c>
      <c r="F927" t="s">
        <v>33</v>
      </c>
      <c r="G927">
        <v>-122.29916</v>
      </c>
      <c r="H927">
        <v>47.579673999999997</v>
      </c>
      <c r="I927" t="s">
        <v>34</v>
      </c>
      <c r="J927">
        <f t="shared" si="14"/>
        <v>4</v>
      </c>
      <c r="K927">
        <v>3</v>
      </c>
    </row>
    <row r="928" spans="1:11" x14ac:dyDescent="0.25">
      <c r="A928">
        <v>1703261</v>
      </c>
      <c r="B928">
        <v>245</v>
      </c>
      <c r="C928" t="s">
        <v>32</v>
      </c>
      <c r="D928" s="1">
        <v>42457.246527777781</v>
      </c>
      <c r="E928" t="s">
        <v>95</v>
      </c>
      <c r="F928" t="s">
        <v>98</v>
      </c>
      <c r="G928">
        <v>-122.31312</v>
      </c>
      <c r="H928">
        <v>47.662179999999999</v>
      </c>
      <c r="I928" t="s">
        <v>329</v>
      </c>
      <c r="J928">
        <f t="shared" si="14"/>
        <v>3</v>
      </c>
      <c r="K928">
        <v>1</v>
      </c>
    </row>
    <row r="929" spans="1:11" x14ac:dyDescent="0.25">
      <c r="A929">
        <v>1703262</v>
      </c>
      <c r="B929">
        <v>200</v>
      </c>
      <c r="C929" t="s">
        <v>187</v>
      </c>
      <c r="D929" s="1">
        <v>42457.248611111114</v>
      </c>
      <c r="E929" t="s">
        <v>95</v>
      </c>
      <c r="F929" t="s">
        <v>367</v>
      </c>
      <c r="G929">
        <v>-122.31650999999999</v>
      </c>
      <c r="H929">
        <v>47.674979999999998</v>
      </c>
      <c r="I929" t="s">
        <v>904</v>
      </c>
      <c r="J929">
        <f t="shared" si="14"/>
        <v>1</v>
      </c>
      <c r="K929">
        <v>2</v>
      </c>
    </row>
    <row r="930" spans="1:11" x14ac:dyDescent="0.25">
      <c r="A930">
        <v>1703263</v>
      </c>
      <c r="B930">
        <v>161</v>
      </c>
      <c r="C930" t="s">
        <v>35</v>
      </c>
      <c r="D930" s="1">
        <v>42457.248611111114</v>
      </c>
      <c r="E930" t="s">
        <v>43</v>
      </c>
      <c r="F930" t="s">
        <v>218</v>
      </c>
      <c r="G930">
        <v>-122.33418</v>
      </c>
      <c r="H930">
        <v>47.601303000000001</v>
      </c>
      <c r="I930" t="s">
        <v>558</v>
      </c>
      <c r="J930">
        <f t="shared" si="14"/>
        <v>2</v>
      </c>
      <c r="K930">
        <v>2</v>
      </c>
    </row>
    <row r="931" spans="1:11" x14ac:dyDescent="0.25">
      <c r="A931">
        <v>1703264</v>
      </c>
      <c r="B931">
        <v>470</v>
      </c>
      <c r="C931" t="s">
        <v>14</v>
      </c>
      <c r="D931" s="1">
        <v>42457.243750000001</v>
      </c>
      <c r="E931" t="s">
        <v>71</v>
      </c>
      <c r="F931" t="s">
        <v>110</v>
      </c>
      <c r="G931">
        <v>-122.31681</v>
      </c>
      <c r="H931">
        <v>47.718192999999999</v>
      </c>
      <c r="I931" t="s">
        <v>905</v>
      </c>
      <c r="J931">
        <f t="shared" si="14"/>
        <v>1</v>
      </c>
      <c r="K931">
        <v>2</v>
      </c>
    </row>
    <row r="932" spans="1:11" x14ac:dyDescent="0.25">
      <c r="A932">
        <v>1703265</v>
      </c>
      <c r="B932">
        <v>280</v>
      </c>
      <c r="C932" t="s">
        <v>22</v>
      </c>
      <c r="D932" s="1">
        <v>42457.259027777778</v>
      </c>
      <c r="E932" t="s">
        <v>64</v>
      </c>
      <c r="F932" t="s">
        <v>215</v>
      </c>
      <c r="G932">
        <v>-122.413284</v>
      </c>
      <c r="H932">
        <v>47.578353999999997</v>
      </c>
      <c r="I932" t="s">
        <v>906</v>
      </c>
      <c r="J932">
        <f t="shared" si="14"/>
        <v>1</v>
      </c>
      <c r="K932">
        <v>3</v>
      </c>
    </row>
    <row r="933" spans="1:11" x14ac:dyDescent="0.25">
      <c r="A933">
        <v>1703266</v>
      </c>
      <c r="B933">
        <v>200</v>
      </c>
      <c r="C933" t="s">
        <v>187</v>
      </c>
      <c r="D933" s="1">
        <v>42457.25277777778</v>
      </c>
      <c r="E933" t="s">
        <v>67</v>
      </c>
      <c r="F933" t="s">
        <v>193</v>
      </c>
      <c r="G933">
        <v>-122.33835000000001</v>
      </c>
      <c r="H933">
        <v>47.609515999999999</v>
      </c>
      <c r="I933" t="s">
        <v>366</v>
      </c>
      <c r="J933">
        <f t="shared" si="14"/>
        <v>8</v>
      </c>
      <c r="K933">
        <v>1</v>
      </c>
    </row>
    <row r="934" spans="1:11" x14ac:dyDescent="0.25">
      <c r="A934">
        <v>1703268</v>
      </c>
      <c r="B934">
        <v>460</v>
      </c>
      <c r="C934" t="s">
        <v>18</v>
      </c>
      <c r="D934" s="1">
        <v>42457.265277777777</v>
      </c>
      <c r="E934" t="s">
        <v>11</v>
      </c>
      <c r="F934" t="s">
        <v>12</v>
      </c>
      <c r="G934">
        <v>-122.282135</v>
      </c>
      <c r="H934">
        <v>47.554707000000001</v>
      </c>
      <c r="I934" t="s">
        <v>907</v>
      </c>
      <c r="J934">
        <f t="shared" si="14"/>
        <v>1</v>
      </c>
      <c r="K934">
        <v>2</v>
      </c>
    </row>
    <row r="935" spans="1:11" x14ac:dyDescent="0.25">
      <c r="A935">
        <v>1703269</v>
      </c>
      <c r="B935">
        <v>139</v>
      </c>
      <c r="C935" t="s">
        <v>197</v>
      </c>
      <c r="D935" s="1">
        <v>42457.26666666667</v>
      </c>
      <c r="E935" t="s">
        <v>71</v>
      </c>
      <c r="F935" t="s">
        <v>110</v>
      </c>
      <c r="G935">
        <v>-122.33926</v>
      </c>
      <c r="H935">
        <v>47.610509999999998</v>
      </c>
      <c r="I935" t="s">
        <v>908</v>
      </c>
      <c r="J935">
        <f t="shared" si="14"/>
        <v>1</v>
      </c>
      <c r="K935">
        <v>1</v>
      </c>
    </row>
    <row r="936" spans="1:11" x14ac:dyDescent="0.25">
      <c r="A936">
        <v>1703270</v>
      </c>
      <c r="B936">
        <v>244</v>
      </c>
      <c r="C936" t="s">
        <v>286</v>
      </c>
      <c r="D936" s="1">
        <v>42457.277777777781</v>
      </c>
      <c r="E936" t="s">
        <v>23</v>
      </c>
      <c r="F936" t="s">
        <v>24</v>
      </c>
      <c r="G936">
        <v>-122.38330000000001</v>
      </c>
      <c r="H936">
        <v>47.651240000000001</v>
      </c>
      <c r="I936" t="s">
        <v>909</v>
      </c>
      <c r="J936">
        <f t="shared" si="14"/>
        <v>1</v>
      </c>
      <c r="K936">
        <v>1</v>
      </c>
    </row>
    <row r="937" spans="1:11" x14ac:dyDescent="0.25">
      <c r="A937">
        <v>1703271</v>
      </c>
      <c r="B937">
        <v>200</v>
      </c>
      <c r="C937" t="s">
        <v>187</v>
      </c>
      <c r="D937" s="1">
        <v>42457.277083333334</v>
      </c>
      <c r="E937" t="s">
        <v>19</v>
      </c>
      <c r="F937" t="s">
        <v>20</v>
      </c>
      <c r="G937">
        <v>-122.32139599999999</v>
      </c>
      <c r="H937">
        <v>47.585064000000003</v>
      </c>
      <c r="I937" t="s">
        <v>910</v>
      </c>
      <c r="J937">
        <f t="shared" si="14"/>
        <v>1</v>
      </c>
      <c r="K937">
        <v>1</v>
      </c>
    </row>
    <row r="938" spans="1:11" x14ac:dyDescent="0.25">
      <c r="A938">
        <v>1703272</v>
      </c>
      <c r="B938">
        <v>250</v>
      </c>
      <c r="C938" t="s">
        <v>59</v>
      </c>
      <c r="D938" s="1">
        <v>42457.272222222222</v>
      </c>
      <c r="E938" t="s">
        <v>145</v>
      </c>
      <c r="F938" t="s">
        <v>314</v>
      </c>
      <c r="G938">
        <v>-122.36405000000001</v>
      </c>
      <c r="H938">
        <v>47.700718000000002</v>
      </c>
      <c r="I938" t="s">
        <v>911</v>
      </c>
      <c r="J938">
        <f t="shared" si="14"/>
        <v>1</v>
      </c>
      <c r="K938">
        <v>2</v>
      </c>
    </row>
    <row r="939" spans="1:11" x14ac:dyDescent="0.25">
      <c r="A939">
        <v>1703273</v>
      </c>
      <c r="B939">
        <v>245</v>
      </c>
      <c r="C939" t="s">
        <v>32</v>
      </c>
      <c r="D939" s="1">
        <v>42457.273611111108</v>
      </c>
      <c r="E939" t="s">
        <v>78</v>
      </c>
      <c r="F939" t="s">
        <v>79</v>
      </c>
      <c r="G939">
        <v>-122.38473999999999</v>
      </c>
      <c r="H939">
        <v>47.670546999999999</v>
      </c>
      <c r="I939" t="s">
        <v>912</v>
      </c>
      <c r="J939">
        <f t="shared" si="14"/>
        <v>2</v>
      </c>
      <c r="K939">
        <v>1</v>
      </c>
    </row>
    <row r="940" spans="1:11" x14ac:dyDescent="0.25">
      <c r="A940">
        <v>1703274</v>
      </c>
      <c r="B940">
        <v>430</v>
      </c>
      <c r="C940" t="s">
        <v>70</v>
      </c>
      <c r="D940" s="1">
        <v>42457.275000000001</v>
      </c>
      <c r="E940" t="s">
        <v>23</v>
      </c>
      <c r="F940" t="s">
        <v>24</v>
      </c>
      <c r="G940">
        <v>-122.39899</v>
      </c>
      <c r="H940">
        <v>47.639125999999997</v>
      </c>
      <c r="I940" t="s">
        <v>913</v>
      </c>
      <c r="J940">
        <f t="shared" si="14"/>
        <v>1</v>
      </c>
      <c r="K940">
        <v>1</v>
      </c>
    </row>
    <row r="941" spans="1:11" x14ac:dyDescent="0.25">
      <c r="A941">
        <v>1703275</v>
      </c>
      <c r="B941">
        <v>200</v>
      </c>
      <c r="C941" t="s">
        <v>187</v>
      </c>
      <c r="D941" s="1">
        <v>42457.290277777778</v>
      </c>
      <c r="E941" t="s">
        <v>95</v>
      </c>
      <c r="F941" t="s">
        <v>96</v>
      </c>
      <c r="G941">
        <v>-122.2907</v>
      </c>
      <c r="H941">
        <v>47.690562999999997</v>
      </c>
      <c r="I941" t="s">
        <v>914</v>
      </c>
      <c r="J941">
        <f t="shared" si="14"/>
        <v>1</v>
      </c>
      <c r="K941">
        <v>4</v>
      </c>
    </row>
    <row r="942" spans="1:11" x14ac:dyDescent="0.25">
      <c r="A942">
        <v>1703276</v>
      </c>
      <c r="B942">
        <v>200</v>
      </c>
      <c r="C942" t="s">
        <v>187</v>
      </c>
      <c r="D942" s="1">
        <v>42457.290972222225</v>
      </c>
      <c r="E942" t="s">
        <v>104</v>
      </c>
      <c r="F942" t="s">
        <v>105</v>
      </c>
      <c r="G942">
        <v>-122.339005</v>
      </c>
      <c r="H942">
        <v>47.53604</v>
      </c>
      <c r="I942" t="s">
        <v>915</v>
      </c>
      <c r="J942">
        <f t="shared" si="14"/>
        <v>1</v>
      </c>
      <c r="K942">
        <v>1</v>
      </c>
    </row>
    <row r="943" spans="1:11" x14ac:dyDescent="0.25">
      <c r="A943">
        <v>1703277</v>
      </c>
      <c r="B943">
        <v>200</v>
      </c>
      <c r="C943" t="s">
        <v>187</v>
      </c>
      <c r="D943" s="1">
        <v>42457.295138888891</v>
      </c>
      <c r="E943" t="s">
        <v>78</v>
      </c>
      <c r="F943" t="s">
        <v>79</v>
      </c>
      <c r="G943">
        <v>-122.38267</v>
      </c>
      <c r="H943">
        <v>47.665959999999998</v>
      </c>
      <c r="I943" t="s">
        <v>555</v>
      </c>
      <c r="J943">
        <f t="shared" si="14"/>
        <v>2</v>
      </c>
      <c r="K943">
        <v>1</v>
      </c>
    </row>
    <row r="944" spans="1:11" x14ac:dyDescent="0.25">
      <c r="A944">
        <v>1703278</v>
      </c>
      <c r="B944">
        <v>71</v>
      </c>
      <c r="C944" t="s">
        <v>142</v>
      </c>
      <c r="D944" s="1">
        <v>42457.288194444445</v>
      </c>
      <c r="E944" t="s">
        <v>23</v>
      </c>
      <c r="F944" t="s">
        <v>24</v>
      </c>
      <c r="G944">
        <v>-122.39296</v>
      </c>
      <c r="H944">
        <v>47.642753999999996</v>
      </c>
      <c r="I944" t="s">
        <v>916</v>
      </c>
      <c r="J944">
        <f t="shared" si="14"/>
        <v>1</v>
      </c>
      <c r="K944">
        <v>1</v>
      </c>
    </row>
    <row r="945" spans="1:11" x14ac:dyDescent="0.25">
      <c r="A945">
        <v>1703279</v>
      </c>
      <c r="B945">
        <v>470</v>
      </c>
      <c r="C945" t="s">
        <v>14</v>
      </c>
      <c r="D945" s="1">
        <v>42457.292361111111</v>
      </c>
      <c r="E945" t="s">
        <v>23</v>
      </c>
      <c r="F945" t="s">
        <v>189</v>
      </c>
      <c r="G945">
        <v>-122.344955</v>
      </c>
      <c r="H945">
        <v>47.631855000000002</v>
      </c>
      <c r="I945" t="s">
        <v>917</v>
      </c>
      <c r="J945">
        <f t="shared" si="14"/>
        <v>1</v>
      </c>
      <c r="K945">
        <v>2</v>
      </c>
    </row>
    <row r="946" spans="1:11" x14ac:dyDescent="0.25">
      <c r="A946">
        <v>1703280</v>
      </c>
      <c r="B946">
        <v>450</v>
      </c>
      <c r="C946" t="s">
        <v>266</v>
      </c>
      <c r="D946" s="1">
        <v>42457.289583333331</v>
      </c>
      <c r="E946" t="s">
        <v>81</v>
      </c>
      <c r="F946" t="s">
        <v>82</v>
      </c>
      <c r="G946">
        <v>-122.34711</v>
      </c>
      <c r="H946">
        <v>47.617240000000002</v>
      </c>
      <c r="I946" t="s">
        <v>918</v>
      </c>
      <c r="J946">
        <f t="shared" si="14"/>
        <v>1</v>
      </c>
      <c r="K946">
        <v>1</v>
      </c>
    </row>
    <row r="947" spans="1:11" x14ac:dyDescent="0.25">
      <c r="A947">
        <v>1703281</v>
      </c>
      <c r="B947">
        <v>470</v>
      </c>
      <c r="C947" t="s">
        <v>14</v>
      </c>
      <c r="D947" s="1">
        <v>42457.293749999997</v>
      </c>
      <c r="E947" t="s">
        <v>47</v>
      </c>
      <c r="F947" t="s">
        <v>90</v>
      </c>
      <c r="G947">
        <v>-122.32674400000001</v>
      </c>
      <c r="H947">
        <v>47.618113999999998</v>
      </c>
      <c r="I947" t="s">
        <v>919</v>
      </c>
      <c r="J947">
        <f t="shared" si="14"/>
        <v>1</v>
      </c>
      <c r="K947">
        <v>1</v>
      </c>
    </row>
    <row r="948" spans="1:11" x14ac:dyDescent="0.25">
      <c r="A948">
        <v>1703282</v>
      </c>
      <c r="B948">
        <v>250</v>
      </c>
      <c r="C948" t="s">
        <v>59</v>
      </c>
      <c r="D948" s="1">
        <v>42457.311111111114</v>
      </c>
      <c r="E948" t="s">
        <v>67</v>
      </c>
      <c r="F948" t="s">
        <v>68</v>
      </c>
      <c r="G948">
        <v>-122.33381</v>
      </c>
      <c r="H948">
        <v>47.612102999999998</v>
      </c>
      <c r="I948" t="s">
        <v>544</v>
      </c>
      <c r="J948">
        <f t="shared" si="14"/>
        <v>3</v>
      </c>
      <c r="K948">
        <v>2</v>
      </c>
    </row>
    <row r="949" spans="1:11" x14ac:dyDescent="0.25">
      <c r="A949">
        <v>1703283</v>
      </c>
      <c r="B949">
        <v>201</v>
      </c>
      <c r="C949" t="s">
        <v>36</v>
      </c>
      <c r="D949" s="1">
        <v>42457.306944444441</v>
      </c>
      <c r="E949" t="s">
        <v>71</v>
      </c>
      <c r="F949" t="s">
        <v>72</v>
      </c>
      <c r="G949">
        <v>-122.389725</v>
      </c>
      <c r="H949">
        <v>47.647174999999997</v>
      </c>
      <c r="I949" t="s">
        <v>920</v>
      </c>
      <c r="J949">
        <f t="shared" si="14"/>
        <v>1</v>
      </c>
      <c r="K949">
        <v>1</v>
      </c>
    </row>
    <row r="950" spans="1:11" x14ac:dyDescent="0.25">
      <c r="A950">
        <v>1703284</v>
      </c>
      <c r="B950">
        <v>280</v>
      </c>
      <c r="C950" t="s">
        <v>22</v>
      </c>
      <c r="D950" s="1">
        <v>42457.306250000001</v>
      </c>
      <c r="E950" t="s">
        <v>64</v>
      </c>
      <c r="F950" t="s">
        <v>332</v>
      </c>
      <c r="G950">
        <v>-122.387276</v>
      </c>
      <c r="H950">
        <v>47.539920000000002</v>
      </c>
      <c r="I950" t="s">
        <v>921</v>
      </c>
      <c r="J950">
        <f t="shared" si="14"/>
        <v>1</v>
      </c>
      <c r="K950">
        <v>4</v>
      </c>
    </row>
    <row r="951" spans="1:11" x14ac:dyDescent="0.25">
      <c r="A951">
        <v>1703285</v>
      </c>
      <c r="B951">
        <v>245</v>
      </c>
      <c r="C951" t="s">
        <v>32</v>
      </c>
      <c r="D951" s="1">
        <v>42457.311805555553</v>
      </c>
      <c r="E951" t="s">
        <v>67</v>
      </c>
      <c r="F951" t="s">
        <v>68</v>
      </c>
      <c r="G951">
        <v>-122.33381</v>
      </c>
      <c r="H951">
        <v>47.612102999999998</v>
      </c>
      <c r="I951" t="s">
        <v>544</v>
      </c>
      <c r="J951">
        <f t="shared" si="14"/>
        <v>3</v>
      </c>
      <c r="K951">
        <v>2</v>
      </c>
    </row>
    <row r="952" spans="1:11" x14ac:dyDescent="0.25">
      <c r="A952">
        <v>1703286</v>
      </c>
      <c r="B952">
        <v>52</v>
      </c>
      <c r="C952" t="s">
        <v>57</v>
      </c>
      <c r="D952" s="1">
        <v>42457.309027777781</v>
      </c>
      <c r="E952" t="s">
        <v>95</v>
      </c>
      <c r="F952" t="s">
        <v>98</v>
      </c>
      <c r="G952">
        <v>-122.31741</v>
      </c>
      <c r="H952">
        <v>47.664029999999997</v>
      </c>
      <c r="I952" t="s">
        <v>922</v>
      </c>
      <c r="J952">
        <f t="shared" si="14"/>
        <v>1</v>
      </c>
      <c r="K952">
        <v>3</v>
      </c>
    </row>
    <row r="953" spans="1:11" x14ac:dyDescent="0.25">
      <c r="A953">
        <v>1703287</v>
      </c>
      <c r="B953">
        <v>460</v>
      </c>
      <c r="C953" t="s">
        <v>18</v>
      </c>
      <c r="D953" s="1">
        <v>42457.309027777781</v>
      </c>
      <c r="E953" t="s">
        <v>47</v>
      </c>
      <c r="F953" t="s">
        <v>48</v>
      </c>
      <c r="G953">
        <v>-122.32211</v>
      </c>
      <c r="H953">
        <v>47.614063000000002</v>
      </c>
      <c r="I953" t="s">
        <v>923</v>
      </c>
      <c r="J953">
        <f t="shared" si="14"/>
        <v>1</v>
      </c>
      <c r="K953">
        <v>0</v>
      </c>
    </row>
    <row r="954" spans="1:11" x14ac:dyDescent="0.25">
      <c r="A954">
        <v>1703288</v>
      </c>
      <c r="B954">
        <v>201</v>
      </c>
      <c r="C954" t="s">
        <v>36</v>
      </c>
      <c r="D954" s="1">
        <v>42457.320833333331</v>
      </c>
      <c r="E954" t="s">
        <v>71</v>
      </c>
      <c r="F954" t="s">
        <v>110</v>
      </c>
      <c r="G954">
        <v>-122.34287999999999</v>
      </c>
      <c r="H954">
        <v>47.518203999999997</v>
      </c>
      <c r="I954" t="s">
        <v>924</v>
      </c>
      <c r="J954">
        <f t="shared" si="14"/>
        <v>1</v>
      </c>
      <c r="K954">
        <v>1</v>
      </c>
    </row>
    <row r="955" spans="1:11" x14ac:dyDescent="0.25">
      <c r="A955">
        <v>1703289</v>
      </c>
      <c r="B955">
        <v>250</v>
      </c>
      <c r="C955" t="s">
        <v>59</v>
      </c>
      <c r="D955" s="1">
        <v>42457.318055555559</v>
      </c>
      <c r="E955" t="s">
        <v>67</v>
      </c>
      <c r="F955" t="s">
        <v>100</v>
      </c>
      <c r="G955">
        <v>-122.3409</v>
      </c>
      <c r="H955">
        <v>47.610619999999997</v>
      </c>
      <c r="I955" t="s">
        <v>925</v>
      </c>
      <c r="J955">
        <f t="shared" si="14"/>
        <v>1</v>
      </c>
      <c r="K955">
        <v>2</v>
      </c>
    </row>
    <row r="956" spans="1:11" x14ac:dyDescent="0.25">
      <c r="A956">
        <v>1703290</v>
      </c>
      <c r="B956">
        <v>64</v>
      </c>
      <c r="C956" t="s">
        <v>158</v>
      </c>
      <c r="D956" s="1">
        <v>42457.322222222225</v>
      </c>
      <c r="E956" t="s">
        <v>71</v>
      </c>
      <c r="F956" t="s">
        <v>110</v>
      </c>
      <c r="G956">
        <v>-122.33835000000001</v>
      </c>
      <c r="H956">
        <v>47.609515999999999</v>
      </c>
      <c r="I956" t="s">
        <v>366</v>
      </c>
      <c r="J956">
        <f t="shared" si="14"/>
        <v>8</v>
      </c>
      <c r="K956">
        <v>1</v>
      </c>
    </row>
    <row r="957" spans="1:11" x14ac:dyDescent="0.25">
      <c r="A957">
        <v>1703291</v>
      </c>
      <c r="B957">
        <v>161</v>
      </c>
      <c r="C957" t="s">
        <v>35</v>
      </c>
      <c r="D957" s="1">
        <v>42457.313888888886</v>
      </c>
      <c r="E957" t="s">
        <v>67</v>
      </c>
      <c r="F957" t="s">
        <v>68</v>
      </c>
      <c r="G957">
        <v>-122.334816</v>
      </c>
      <c r="H957">
        <v>47.612369999999999</v>
      </c>
      <c r="I957" t="s">
        <v>257</v>
      </c>
      <c r="J957">
        <f t="shared" si="14"/>
        <v>2</v>
      </c>
      <c r="K957">
        <v>3</v>
      </c>
    </row>
    <row r="958" spans="1:11" x14ac:dyDescent="0.25">
      <c r="A958">
        <v>1703292</v>
      </c>
      <c r="B958">
        <v>250</v>
      </c>
      <c r="C958" t="s">
        <v>59</v>
      </c>
      <c r="D958" s="1">
        <v>42457.318749999999</v>
      </c>
      <c r="E958" t="s">
        <v>81</v>
      </c>
      <c r="F958" t="s">
        <v>82</v>
      </c>
      <c r="G958">
        <v>-122.34198000000001</v>
      </c>
      <c r="H958">
        <v>47.614215999999999</v>
      </c>
      <c r="I958" t="s">
        <v>471</v>
      </c>
      <c r="J958">
        <f t="shared" si="14"/>
        <v>2</v>
      </c>
      <c r="K958">
        <v>2</v>
      </c>
    </row>
    <row r="959" spans="1:11" x14ac:dyDescent="0.25">
      <c r="A959">
        <v>1703294</v>
      </c>
      <c r="B959">
        <v>161</v>
      </c>
      <c r="C959" t="s">
        <v>35</v>
      </c>
      <c r="D959" s="1">
        <v>42457.321527777778</v>
      </c>
      <c r="E959" t="s">
        <v>15</v>
      </c>
      <c r="F959" t="s">
        <v>16</v>
      </c>
      <c r="G959">
        <v>-122.313515</v>
      </c>
      <c r="H959">
        <v>47.606189999999998</v>
      </c>
      <c r="I959" t="s">
        <v>926</v>
      </c>
      <c r="J959">
        <f t="shared" si="14"/>
        <v>1</v>
      </c>
      <c r="K959">
        <v>3</v>
      </c>
    </row>
    <row r="960" spans="1:11" x14ac:dyDescent="0.25">
      <c r="A960">
        <v>1703295</v>
      </c>
      <c r="B960">
        <v>470</v>
      </c>
      <c r="C960" t="s">
        <v>14</v>
      </c>
      <c r="D960" s="1">
        <v>42457.331944444442</v>
      </c>
      <c r="E960" t="s">
        <v>78</v>
      </c>
      <c r="F960" t="s">
        <v>85</v>
      </c>
      <c r="G960">
        <v>-122.33636</v>
      </c>
      <c r="H960">
        <v>47.647568</v>
      </c>
      <c r="I960" t="s">
        <v>927</v>
      </c>
      <c r="J960">
        <f t="shared" si="14"/>
        <v>1</v>
      </c>
      <c r="K960">
        <v>1</v>
      </c>
    </row>
    <row r="961" spans="1:11" x14ac:dyDescent="0.25">
      <c r="A961">
        <v>1703296</v>
      </c>
      <c r="B961">
        <v>430</v>
      </c>
      <c r="C961" t="s">
        <v>70</v>
      </c>
      <c r="D961" s="1">
        <v>42457.328472222223</v>
      </c>
      <c r="E961" t="s">
        <v>47</v>
      </c>
      <c r="F961" t="s">
        <v>90</v>
      </c>
      <c r="G961">
        <v>-122.31695000000001</v>
      </c>
      <c r="H961">
        <v>47.621099999999998</v>
      </c>
      <c r="I961" t="s">
        <v>928</v>
      </c>
      <c r="J961">
        <f t="shared" si="14"/>
        <v>1</v>
      </c>
      <c r="K961">
        <v>2</v>
      </c>
    </row>
    <row r="962" spans="1:11" x14ac:dyDescent="0.25">
      <c r="A962">
        <v>1703297</v>
      </c>
      <c r="B962">
        <v>30</v>
      </c>
      <c r="C962" t="s">
        <v>346</v>
      </c>
      <c r="D962" s="1">
        <v>42457.260416666664</v>
      </c>
      <c r="E962" t="s">
        <v>78</v>
      </c>
      <c r="F962" t="s">
        <v>79</v>
      </c>
      <c r="G962">
        <v>-122.38759</v>
      </c>
      <c r="H962">
        <v>47.673465999999998</v>
      </c>
      <c r="I962" t="s">
        <v>929</v>
      </c>
      <c r="J962">
        <f t="shared" ref="J962:J1025" si="15">COUNTIF($I$2:$I$1046,I962)</f>
        <v>1</v>
      </c>
      <c r="K962">
        <v>2</v>
      </c>
    </row>
    <row r="963" spans="1:11" x14ac:dyDescent="0.25">
      <c r="A963">
        <v>1703298</v>
      </c>
      <c r="B963">
        <v>280</v>
      </c>
      <c r="C963" t="s">
        <v>22</v>
      </c>
      <c r="D963" s="1">
        <v>42457.338194444441</v>
      </c>
      <c r="E963" t="s">
        <v>52</v>
      </c>
      <c r="F963" t="s">
        <v>232</v>
      </c>
      <c r="G963">
        <v>-122.36065000000001</v>
      </c>
      <c r="H963">
        <v>47.689835000000002</v>
      </c>
      <c r="I963" t="s">
        <v>930</v>
      </c>
      <c r="J963">
        <f t="shared" si="15"/>
        <v>1</v>
      </c>
      <c r="K963">
        <v>3</v>
      </c>
    </row>
    <row r="964" spans="1:11" x14ac:dyDescent="0.25">
      <c r="A964">
        <v>1703299</v>
      </c>
      <c r="B964">
        <v>250</v>
      </c>
      <c r="C964" t="s">
        <v>59</v>
      </c>
      <c r="D964" s="1">
        <v>42457.333333333336</v>
      </c>
      <c r="E964" t="s">
        <v>95</v>
      </c>
      <c r="F964" t="s">
        <v>367</v>
      </c>
      <c r="G964">
        <v>-122.31747</v>
      </c>
      <c r="H964">
        <v>47.681891999999998</v>
      </c>
      <c r="I964" t="s">
        <v>931</v>
      </c>
      <c r="J964">
        <f t="shared" si="15"/>
        <v>1</v>
      </c>
      <c r="K964">
        <v>0</v>
      </c>
    </row>
    <row r="965" spans="1:11" x14ac:dyDescent="0.25">
      <c r="A965">
        <v>1703300</v>
      </c>
      <c r="B965">
        <v>280</v>
      </c>
      <c r="C965" t="s">
        <v>22</v>
      </c>
      <c r="D965" s="1">
        <v>42457.34097222222</v>
      </c>
      <c r="E965" t="s">
        <v>52</v>
      </c>
      <c r="F965" t="s">
        <v>232</v>
      </c>
      <c r="G965">
        <v>-122.36065000000001</v>
      </c>
      <c r="H965">
        <v>47.688384999999997</v>
      </c>
      <c r="I965" t="s">
        <v>932</v>
      </c>
      <c r="J965">
        <f t="shared" si="15"/>
        <v>1</v>
      </c>
      <c r="K965">
        <v>3</v>
      </c>
    </row>
    <row r="966" spans="1:11" x14ac:dyDescent="0.25">
      <c r="A966">
        <v>1703301</v>
      </c>
      <c r="B966">
        <v>470</v>
      </c>
      <c r="C966" t="s">
        <v>14</v>
      </c>
      <c r="D966" s="1">
        <v>42457.338888888888</v>
      </c>
      <c r="E966" t="s">
        <v>78</v>
      </c>
      <c r="F966" t="s">
        <v>79</v>
      </c>
      <c r="G966">
        <v>-122.37888</v>
      </c>
      <c r="H966">
        <v>47.670540000000003</v>
      </c>
      <c r="I966" t="s">
        <v>933</v>
      </c>
      <c r="J966">
        <f t="shared" si="15"/>
        <v>1</v>
      </c>
      <c r="K966">
        <v>4</v>
      </c>
    </row>
    <row r="967" spans="1:11" x14ac:dyDescent="0.25">
      <c r="A967">
        <v>1703302</v>
      </c>
      <c r="B967">
        <v>470</v>
      </c>
      <c r="C967" t="s">
        <v>14</v>
      </c>
      <c r="D967" s="1">
        <v>42457.336805555555</v>
      </c>
      <c r="E967" t="s">
        <v>67</v>
      </c>
      <c r="F967" t="s">
        <v>100</v>
      </c>
      <c r="G967">
        <v>-122.33763999999999</v>
      </c>
      <c r="H967">
        <v>47.607067000000001</v>
      </c>
      <c r="I967" t="s">
        <v>934</v>
      </c>
      <c r="J967">
        <f t="shared" si="15"/>
        <v>1</v>
      </c>
      <c r="K967">
        <v>2</v>
      </c>
    </row>
    <row r="968" spans="1:11" x14ac:dyDescent="0.25">
      <c r="A968">
        <v>1703303</v>
      </c>
      <c r="B968">
        <v>415</v>
      </c>
      <c r="C968" t="s">
        <v>228</v>
      </c>
      <c r="D968" s="1">
        <v>42457.350694444445</v>
      </c>
      <c r="E968" t="s">
        <v>71</v>
      </c>
      <c r="F968" t="s">
        <v>110</v>
      </c>
      <c r="G968">
        <v>-122.27401</v>
      </c>
      <c r="H968">
        <v>47.536945000000003</v>
      </c>
      <c r="I968" t="s">
        <v>935</v>
      </c>
      <c r="J968">
        <f t="shared" si="15"/>
        <v>1</v>
      </c>
      <c r="K968">
        <v>0</v>
      </c>
    </row>
    <row r="969" spans="1:11" x14ac:dyDescent="0.25">
      <c r="A969">
        <v>1703304</v>
      </c>
      <c r="B969">
        <v>245</v>
      </c>
      <c r="C969" t="s">
        <v>32</v>
      </c>
      <c r="D969" s="1">
        <v>42457.354166666664</v>
      </c>
      <c r="E969" t="s">
        <v>67</v>
      </c>
      <c r="F969" t="s">
        <v>100</v>
      </c>
      <c r="G969">
        <v>-122.33946</v>
      </c>
      <c r="H969">
        <v>47.609054999999998</v>
      </c>
      <c r="I969" t="s">
        <v>340</v>
      </c>
      <c r="J969">
        <f t="shared" si="15"/>
        <v>3</v>
      </c>
      <c r="K969">
        <v>3</v>
      </c>
    </row>
    <row r="970" spans="1:11" x14ac:dyDescent="0.25">
      <c r="A970">
        <v>1703305</v>
      </c>
      <c r="B970">
        <v>280</v>
      </c>
      <c r="C970" t="s">
        <v>22</v>
      </c>
      <c r="D970" s="1">
        <v>42457.353472222225</v>
      </c>
      <c r="E970" t="s">
        <v>52</v>
      </c>
      <c r="F970" t="s">
        <v>120</v>
      </c>
      <c r="G970">
        <v>-122.35408</v>
      </c>
      <c r="H970">
        <v>47.702182999999998</v>
      </c>
      <c r="I970" t="s">
        <v>936</v>
      </c>
      <c r="J970">
        <f t="shared" si="15"/>
        <v>1</v>
      </c>
      <c r="K970">
        <v>3</v>
      </c>
    </row>
    <row r="971" spans="1:11" x14ac:dyDescent="0.25">
      <c r="A971">
        <v>1703306</v>
      </c>
      <c r="B971">
        <v>460</v>
      </c>
      <c r="C971" t="s">
        <v>18</v>
      </c>
      <c r="D971" s="1">
        <v>42457.354166666664</v>
      </c>
      <c r="E971" t="s">
        <v>23</v>
      </c>
      <c r="F971" t="s">
        <v>189</v>
      </c>
      <c r="G971">
        <v>-122.37392</v>
      </c>
      <c r="H971">
        <v>47.630882</v>
      </c>
      <c r="I971" t="s">
        <v>937</v>
      </c>
      <c r="J971">
        <f t="shared" si="15"/>
        <v>1</v>
      </c>
      <c r="K971">
        <v>2</v>
      </c>
    </row>
    <row r="972" spans="1:11" x14ac:dyDescent="0.25">
      <c r="A972">
        <v>1703307</v>
      </c>
      <c r="B972">
        <v>280</v>
      </c>
      <c r="C972" t="s">
        <v>22</v>
      </c>
      <c r="D972" s="1">
        <v>42457.352777777778</v>
      </c>
      <c r="E972" t="s">
        <v>11</v>
      </c>
      <c r="F972" t="s">
        <v>245</v>
      </c>
      <c r="G972">
        <v>-122.31476000000001</v>
      </c>
      <c r="H972">
        <v>47.564410000000002</v>
      </c>
      <c r="I972" t="s">
        <v>938</v>
      </c>
      <c r="J972">
        <f t="shared" si="15"/>
        <v>1</v>
      </c>
      <c r="K972">
        <v>2</v>
      </c>
    </row>
    <row r="973" spans="1:11" x14ac:dyDescent="0.25">
      <c r="A973">
        <v>1703308</v>
      </c>
      <c r="B973">
        <v>280</v>
      </c>
      <c r="C973" t="s">
        <v>22</v>
      </c>
      <c r="D973" s="1">
        <v>42457.349305555559</v>
      </c>
      <c r="E973" t="s">
        <v>19</v>
      </c>
      <c r="F973" t="s">
        <v>349</v>
      </c>
      <c r="G973">
        <v>-122.319756</v>
      </c>
      <c r="H973">
        <v>47.552079999999997</v>
      </c>
      <c r="I973" t="s">
        <v>939</v>
      </c>
      <c r="J973">
        <f t="shared" si="15"/>
        <v>1</v>
      </c>
      <c r="K973">
        <v>1</v>
      </c>
    </row>
    <row r="974" spans="1:11" x14ac:dyDescent="0.25">
      <c r="A974">
        <v>1703309</v>
      </c>
      <c r="B974">
        <v>41</v>
      </c>
      <c r="C974" t="s">
        <v>134</v>
      </c>
      <c r="D974" s="1">
        <v>42457.353472222225</v>
      </c>
      <c r="E974" t="s">
        <v>52</v>
      </c>
      <c r="F974" t="s">
        <v>232</v>
      </c>
      <c r="G974">
        <v>-122.35663599999999</v>
      </c>
      <c r="H974">
        <v>47.688389999999998</v>
      </c>
      <c r="I974" t="s">
        <v>940</v>
      </c>
      <c r="J974">
        <f t="shared" si="15"/>
        <v>1</v>
      </c>
      <c r="K974">
        <v>3</v>
      </c>
    </row>
    <row r="975" spans="1:11" x14ac:dyDescent="0.25">
      <c r="A975">
        <v>1703310</v>
      </c>
      <c r="B975">
        <v>460</v>
      </c>
      <c r="C975" t="s">
        <v>18</v>
      </c>
      <c r="D975" s="1">
        <v>42457.363194444442</v>
      </c>
      <c r="E975" t="s">
        <v>43</v>
      </c>
      <c r="F975" t="s">
        <v>102</v>
      </c>
      <c r="G975">
        <v>-122.338005</v>
      </c>
      <c r="H975">
        <v>47.604942000000001</v>
      </c>
      <c r="I975" t="s">
        <v>941</v>
      </c>
      <c r="J975">
        <f t="shared" si="15"/>
        <v>1</v>
      </c>
      <c r="K975">
        <v>1</v>
      </c>
    </row>
    <row r="976" spans="1:11" x14ac:dyDescent="0.25">
      <c r="A976">
        <v>1703311</v>
      </c>
      <c r="B976">
        <v>245</v>
      </c>
      <c r="C976" t="s">
        <v>32</v>
      </c>
      <c r="D976" s="1">
        <v>42457.354861111111</v>
      </c>
      <c r="E976" t="s">
        <v>67</v>
      </c>
      <c r="F976" t="s">
        <v>68</v>
      </c>
      <c r="G976">
        <v>-122.341545</v>
      </c>
      <c r="H976">
        <v>47.612780000000001</v>
      </c>
      <c r="I976" t="s">
        <v>725</v>
      </c>
      <c r="J976">
        <f t="shared" si="15"/>
        <v>3</v>
      </c>
      <c r="K976">
        <v>2</v>
      </c>
    </row>
    <row r="977" spans="1:11" x14ac:dyDescent="0.25">
      <c r="A977">
        <v>1703312</v>
      </c>
      <c r="B977">
        <v>280</v>
      </c>
      <c r="C977" t="s">
        <v>22</v>
      </c>
      <c r="D977" s="1">
        <v>42457.354166666664</v>
      </c>
      <c r="E977" t="s">
        <v>104</v>
      </c>
      <c r="F977" t="s">
        <v>181</v>
      </c>
      <c r="G977">
        <v>-122.35785</v>
      </c>
      <c r="H977">
        <v>47.518279999999997</v>
      </c>
      <c r="I977" t="s">
        <v>631</v>
      </c>
      <c r="J977">
        <f t="shared" si="15"/>
        <v>2</v>
      </c>
      <c r="K977">
        <v>4</v>
      </c>
    </row>
    <row r="978" spans="1:11" x14ac:dyDescent="0.25">
      <c r="A978">
        <v>1703313</v>
      </c>
      <c r="B978">
        <v>470</v>
      </c>
      <c r="C978" t="s">
        <v>14</v>
      </c>
      <c r="D978" s="1">
        <v>42457.366666666669</v>
      </c>
      <c r="E978" t="s">
        <v>19</v>
      </c>
      <c r="F978" t="s">
        <v>50</v>
      </c>
      <c r="G978">
        <v>-122.32101</v>
      </c>
      <c r="H978">
        <v>47.553350000000002</v>
      </c>
      <c r="I978" t="s">
        <v>942</v>
      </c>
      <c r="J978">
        <f t="shared" si="15"/>
        <v>1</v>
      </c>
      <c r="K978">
        <v>3</v>
      </c>
    </row>
    <row r="979" spans="1:11" x14ac:dyDescent="0.25">
      <c r="A979">
        <v>1703314</v>
      </c>
      <c r="B979">
        <v>250</v>
      </c>
      <c r="C979" t="s">
        <v>59</v>
      </c>
      <c r="D979" s="1">
        <v>42457.365972222222</v>
      </c>
      <c r="E979" t="s">
        <v>67</v>
      </c>
      <c r="F979" t="s">
        <v>68</v>
      </c>
      <c r="G979">
        <v>-122.33732000000001</v>
      </c>
      <c r="H979">
        <v>47.611319999999999</v>
      </c>
      <c r="I979" t="s">
        <v>223</v>
      </c>
      <c r="J979">
        <f t="shared" si="15"/>
        <v>7</v>
      </c>
      <c r="K979">
        <v>2</v>
      </c>
    </row>
    <row r="980" spans="1:11" x14ac:dyDescent="0.25">
      <c r="A980">
        <v>1703315</v>
      </c>
      <c r="B980">
        <v>40</v>
      </c>
      <c r="C980" t="s">
        <v>119</v>
      </c>
      <c r="D980" s="1">
        <v>42457.367361111108</v>
      </c>
      <c r="E980" t="s">
        <v>145</v>
      </c>
      <c r="F980" t="s">
        <v>314</v>
      </c>
      <c r="G980">
        <v>-122.36273</v>
      </c>
      <c r="H980">
        <v>47.701393000000003</v>
      </c>
      <c r="I980" t="s">
        <v>440</v>
      </c>
      <c r="J980">
        <f t="shared" si="15"/>
        <v>5</v>
      </c>
      <c r="K980">
        <v>2</v>
      </c>
    </row>
    <row r="981" spans="1:11" x14ac:dyDescent="0.25">
      <c r="A981">
        <v>1703316</v>
      </c>
      <c r="B981">
        <v>430</v>
      </c>
      <c r="C981" t="s">
        <v>70</v>
      </c>
      <c r="D981" s="1">
        <v>42457.366666666669</v>
      </c>
      <c r="E981" t="s">
        <v>40</v>
      </c>
      <c r="F981" t="s">
        <v>41</v>
      </c>
      <c r="G981">
        <v>-122.31139</v>
      </c>
      <c r="H981">
        <v>47.620086999999998</v>
      </c>
      <c r="I981" t="s">
        <v>943</v>
      </c>
      <c r="J981">
        <f t="shared" si="15"/>
        <v>1</v>
      </c>
      <c r="K981">
        <v>3</v>
      </c>
    </row>
    <row r="982" spans="1:11" x14ac:dyDescent="0.25">
      <c r="A982">
        <v>1703317</v>
      </c>
      <c r="B982">
        <v>130</v>
      </c>
      <c r="C982" t="s">
        <v>248</v>
      </c>
      <c r="D982" s="1">
        <v>42457.367361111108</v>
      </c>
      <c r="E982" t="s">
        <v>81</v>
      </c>
      <c r="F982" t="s">
        <v>82</v>
      </c>
      <c r="G982">
        <v>-122.341736</v>
      </c>
      <c r="H982">
        <v>47.619717000000001</v>
      </c>
      <c r="I982" t="s">
        <v>592</v>
      </c>
      <c r="J982">
        <f t="shared" si="15"/>
        <v>2</v>
      </c>
      <c r="K982">
        <v>3</v>
      </c>
    </row>
    <row r="983" spans="1:11" x14ac:dyDescent="0.25">
      <c r="A983">
        <v>1703318</v>
      </c>
      <c r="B983">
        <v>280</v>
      </c>
      <c r="C983" t="s">
        <v>22</v>
      </c>
      <c r="D983" s="1">
        <v>42457.362500000003</v>
      </c>
      <c r="E983" t="s">
        <v>145</v>
      </c>
      <c r="F983" t="s">
        <v>314</v>
      </c>
      <c r="G983">
        <v>-122.34772</v>
      </c>
      <c r="H983">
        <v>47.727314</v>
      </c>
      <c r="I983" t="s">
        <v>944</v>
      </c>
      <c r="J983">
        <f t="shared" si="15"/>
        <v>1</v>
      </c>
      <c r="K983">
        <v>2</v>
      </c>
    </row>
    <row r="984" spans="1:11" x14ac:dyDescent="0.25">
      <c r="A984">
        <v>1703319</v>
      </c>
      <c r="B984">
        <v>52</v>
      </c>
      <c r="C984" t="s">
        <v>57</v>
      </c>
      <c r="D984" s="1">
        <v>42457.37222222222</v>
      </c>
      <c r="E984" t="s">
        <v>71</v>
      </c>
      <c r="F984" t="s">
        <v>72</v>
      </c>
      <c r="G984">
        <v>-122.3553</v>
      </c>
      <c r="H984">
        <v>47.690215999999999</v>
      </c>
      <c r="I984" t="s">
        <v>945</v>
      </c>
      <c r="J984">
        <f t="shared" si="15"/>
        <v>1</v>
      </c>
      <c r="K984">
        <v>2</v>
      </c>
    </row>
    <row r="985" spans="1:11" x14ac:dyDescent="0.25">
      <c r="A985">
        <v>1703320</v>
      </c>
      <c r="B985">
        <v>161</v>
      </c>
      <c r="C985" t="s">
        <v>35</v>
      </c>
      <c r="D985" s="1">
        <v>42457.368055555555</v>
      </c>
      <c r="E985" t="s">
        <v>95</v>
      </c>
      <c r="F985" t="s">
        <v>98</v>
      </c>
      <c r="G985">
        <v>-122.32071000000001</v>
      </c>
      <c r="H985">
        <v>47.664512999999999</v>
      </c>
      <c r="I985" t="s">
        <v>946</v>
      </c>
      <c r="J985">
        <f t="shared" si="15"/>
        <v>1</v>
      </c>
      <c r="K985">
        <v>2</v>
      </c>
    </row>
    <row r="986" spans="1:11" x14ac:dyDescent="0.25">
      <c r="A986">
        <v>1703321</v>
      </c>
      <c r="B986">
        <v>161</v>
      </c>
      <c r="C986" t="s">
        <v>35</v>
      </c>
      <c r="D986" s="1">
        <v>42457.37222222222</v>
      </c>
      <c r="E986" t="s">
        <v>81</v>
      </c>
      <c r="F986" t="s">
        <v>82</v>
      </c>
      <c r="G986">
        <v>-122.33378999999999</v>
      </c>
      <c r="H986">
        <v>47.615223</v>
      </c>
      <c r="I986" t="s">
        <v>947</v>
      </c>
      <c r="J986">
        <f t="shared" si="15"/>
        <v>1</v>
      </c>
      <c r="K986">
        <v>3</v>
      </c>
    </row>
    <row r="987" spans="1:11" x14ac:dyDescent="0.25">
      <c r="A987">
        <v>1703322</v>
      </c>
      <c r="B987">
        <v>63</v>
      </c>
      <c r="C987" t="s">
        <v>87</v>
      </c>
      <c r="D987" s="1">
        <v>42457.37222222222</v>
      </c>
      <c r="E987" t="s">
        <v>47</v>
      </c>
      <c r="F987" t="s">
        <v>48</v>
      </c>
      <c r="G987">
        <v>-122.316895</v>
      </c>
      <c r="H987">
        <v>47.617600000000003</v>
      </c>
      <c r="I987" t="s">
        <v>948</v>
      </c>
      <c r="J987">
        <f t="shared" si="15"/>
        <v>1</v>
      </c>
      <c r="K987">
        <v>0</v>
      </c>
    </row>
    <row r="988" spans="1:11" x14ac:dyDescent="0.25">
      <c r="A988">
        <v>1703323</v>
      </c>
      <c r="B988">
        <v>470</v>
      </c>
      <c r="C988" t="s">
        <v>14</v>
      </c>
      <c r="D988" s="1">
        <v>42457.368055555555</v>
      </c>
      <c r="E988" t="s">
        <v>15</v>
      </c>
      <c r="F988" t="s">
        <v>92</v>
      </c>
      <c r="G988">
        <v>-122.31875599999999</v>
      </c>
      <c r="H988">
        <v>47.60436</v>
      </c>
      <c r="I988" t="s">
        <v>949</v>
      </c>
      <c r="J988">
        <f t="shared" si="15"/>
        <v>1</v>
      </c>
      <c r="K988">
        <v>4</v>
      </c>
    </row>
    <row r="989" spans="1:11" x14ac:dyDescent="0.25">
      <c r="A989">
        <v>1703324</v>
      </c>
      <c r="B989">
        <v>160</v>
      </c>
      <c r="C989" t="s">
        <v>504</v>
      </c>
      <c r="D989" s="1">
        <v>42457.37222222222</v>
      </c>
      <c r="E989" t="s">
        <v>52</v>
      </c>
      <c r="F989" t="s">
        <v>120</v>
      </c>
      <c r="G989">
        <v>-122.35396</v>
      </c>
      <c r="H989">
        <v>47.693314000000001</v>
      </c>
      <c r="I989" t="s">
        <v>950</v>
      </c>
      <c r="J989">
        <f t="shared" si="15"/>
        <v>1</v>
      </c>
      <c r="K989">
        <v>1</v>
      </c>
    </row>
    <row r="990" spans="1:11" x14ac:dyDescent="0.25">
      <c r="A990">
        <v>1703325</v>
      </c>
      <c r="B990">
        <v>220</v>
      </c>
      <c r="C990" t="s">
        <v>173</v>
      </c>
      <c r="D990" s="1">
        <v>42457.369444444441</v>
      </c>
      <c r="E990" t="s">
        <v>130</v>
      </c>
      <c r="F990" t="s">
        <v>272</v>
      </c>
      <c r="G990">
        <v>-122.30458</v>
      </c>
      <c r="H990">
        <v>47.725673999999998</v>
      </c>
      <c r="I990" t="s">
        <v>793</v>
      </c>
      <c r="J990">
        <f t="shared" si="15"/>
        <v>3</v>
      </c>
      <c r="K990">
        <v>4</v>
      </c>
    </row>
    <row r="991" spans="1:11" x14ac:dyDescent="0.25">
      <c r="A991">
        <v>1703326</v>
      </c>
      <c r="B991">
        <v>430</v>
      </c>
      <c r="C991" t="s">
        <v>70</v>
      </c>
      <c r="D991" s="1">
        <v>42457.379166666666</v>
      </c>
      <c r="E991" t="s">
        <v>15</v>
      </c>
      <c r="F991" t="s">
        <v>92</v>
      </c>
      <c r="G991">
        <v>-122.31941</v>
      </c>
      <c r="H991">
        <v>47.603520000000003</v>
      </c>
      <c r="I991" t="s">
        <v>951</v>
      </c>
      <c r="J991">
        <f t="shared" si="15"/>
        <v>1</v>
      </c>
      <c r="K991">
        <v>2</v>
      </c>
    </row>
    <row r="992" spans="1:11" x14ac:dyDescent="0.25">
      <c r="A992">
        <v>1703327</v>
      </c>
      <c r="B992">
        <v>220</v>
      </c>
      <c r="C992" t="s">
        <v>173</v>
      </c>
      <c r="D992" s="1">
        <v>42457.381249999999</v>
      </c>
      <c r="E992" t="s">
        <v>47</v>
      </c>
      <c r="F992" t="s">
        <v>177</v>
      </c>
      <c r="G992">
        <v>-122.324196</v>
      </c>
      <c r="H992">
        <v>47.605784999999997</v>
      </c>
      <c r="I992" t="s">
        <v>952</v>
      </c>
      <c r="J992">
        <f t="shared" si="15"/>
        <v>1</v>
      </c>
      <c r="K992">
        <v>1</v>
      </c>
    </row>
    <row r="993" spans="1:11" x14ac:dyDescent="0.25">
      <c r="A993">
        <v>1703328</v>
      </c>
      <c r="B993">
        <v>470</v>
      </c>
      <c r="C993" t="s">
        <v>14</v>
      </c>
      <c r="D993" s="1">
        <v>42457.386111111111</v>
      </c>
      <c r="E993" t="s">
        <v>47</v>
      </c>
      <c r="F993" t="s">
        <v>90</v>
      </c>
      <c r="G993">
        <v>-122.317795</v>
      </c>
      <c r="H993">
        <v>47.623690000000003</v>
      </c>
      <c r="I993" t="s">
        <v>953</v>
      </c>
      <c r="J993">
        <f t="shared" si="15"/>
        <v>1</v>
      </c>
      <c r="K993">
        <v>3</v>
      </c>
    </row>
    <row r="994" spans="1:11" x14ac:dyDescent="0.25">
      <c r="A994">
        <v>1703329</v>
      </c>
      <c r="B994">
        <v>470</v>
      </c>
      <c r="C994" t="s">
        <v>14</v>
      </c>
      <c r="D994" s="1">
        <v>42457.384027777778</v>
      </c>
      <c r="E994" t="s">
        <v>11</v>
      </c>
      <c r="F994" t="s">
        <v>12</v>
      </c>
      <c r="G994">
        <v>-122.285194</v>
      </c>
      <c r="H994">
        <v>47.549743999999997</v>
      </c>
      <c r="I994" t="s">
        <v>954</v>
      </c>
      <c r="J994">
        <f t="shared" si="15"/>
        <v>1</v>
      </c>
      <c r="K994">
        <v>1</v>
      </c>
    </row>
    <row r="995" spans="1:11" x14ac:dyDescent="0.25">
      <c r="A995">
        <v>1703330</v>
      </c>
      <c r="B995">
        <v>64</v>
      </c>
      <c r="C995" t="s">
        <v>158</v>
      </c>
      <c r="D995" s="1">
        <v>42457.388888888891</v>
      </c>
      <c r="E995" t="s">
        <v>23</v>
      </c>
      <c r="F995" t="s">
        <v>88</v>
      </c>
      <c r="G995">
        <v>-122.35475</v>
      </c>
      <c r="H995">
        <v>47.624577000000002</v>
      </c>
      <c r="I995" t="s">
        <v>326</v>
      </c>
      <c r="J995">
        <f t="shared" si="15"/>
        <v>2</v>
      </c>
      <c r="K995">
        <v>3</v>
      </c>
    </row>
    <row r="996" spans="1:11" x14ac:dyDescent="0.25">
      <c r="A996">
        <v>1703331</v>
      </c>
      <c r="B996">
        <v>245</v>
      </c>
      <c r="C996" t="s">
        <v>32</v>
      </c>
      <c r="D996" s="1">
        <v>42457.400694444441</v>
      </c>
      <c r="E996" t="s">
        <v>67</v>
      </c>
      <c r="F996" t="s">
        <v>68</v>
      </c>
      <c r="G996">
        <v>-122.33759000000001</v>
      </c>
      <c r="H996">
        <v>47.611206000000003</v>
      </c>
      <c r="I996" t="s">
        <v>196</v>
      </c>
      <c r="J996">
        <f t="shared" si="15"/>
        <v>5</v>
      </c>
      <c r="K996">
        <v>0</v>
      </c>
    </row>
    <row r="997" spans="1:11" x14ac:dyDescent="0.25">
      <c r="A997">
        <v>1703332</v>
      </c>
      <c r="B997">
        <v>64</v>
      </c>
      <c r="C997" t="s">
        <v>158</v>
      </c>
      <c r="D997" s="1">
        <v>42457.397916666669</v>
      </c>
      <c r="E997" t="s">
        <v>15</v>
      </c>
      <c r="F997" t="s">
        <v>390</v>
      </c>
      <c r="G997">
        <v>-122.31344</v>
      </c>
      <c r="H997">
        <v>47.596653000000003</v>
      </c>
      <c r="I997" t="s">
        <v>391</v>
      </c>
      <c r="J997">
        <f t="shared" si="15"/>
        <v>4</v>
      </c>
      <c r="K997">
        <v>2</v>
      </c>
    </row>
    <row r="998" spans="1:11" x14ac:dyDescent="0.25">
      <c r="A998">
        <v>1703333</v>
      </c>
      <c r="B998">
        <v>245</v>
      </c>
      <c r="C998" t="s">
        <v>32</v>
      </c>
      <c r="D998" s="1">
        <v>42457.398611111108</v>
      </c>
      <c r="E998" t="s">
        <v>47</v>
      </c>
      <c r="F998" t="s">
        <v>48</v>
      </c>
      <c r="G998">
        <v>-122.32076000000001</v>
      </c>
      <c r="H998">
        <v>47.612960000000001</v>
      </c>
      <c r="I998" t="s">
        <v>872</v>
      </c>
      <c r="J998">
        <f t="shared" si="15"/>
        <v>2</v>
      </c>
      <c r="K998">
        <v>0</v>
      </c>
    </row>
    <row r="999" spans="1:11" x14ac:dyDescent="0.25">
      <c r="A999">
        <v>1703334</v>
      </c>
      <c r="B999">
        <v>280</v>
      </c>
      <c r="C999" t="s">
        <v>22</v>
      </c>
      <c r="D999" s="1">
        <v>42457.399305555555</v>
      </c>
      <c r="E999" t="s">
        <v>104</v>
      </c>
      <c r="F999" t="s">
        <v>184</v>
      </c>
      <c r="G999">
        <v>-122.36215</v>
      </c>
      <c r="H999">
        <v>47.535514999999997</v>
      </c>
      <c r="I999" t="s">
        <v>955</v>
      </c>
      <c r="J999">
        <f t="shared" si="15"/>
        <v>2</v>
      </c>
      <c r="K999">
        <v>4</v>
      </c>
    </row>
    <row r="1000" spans="1:11" x14ac:dyDescent="0.25">
      <c r="A1000">
        <v>1703335</v>
      </c>
      <c r="B1000">
        <v>470</v>
      </c>
      <c r="C1000" t="s">
        <v>14</v>
      </c>
      <c r="D1000" s="1">
        <v>42457.396527777775</v>
      </c>
      <c r="E1000" t="s">
        <v>145</v>
      </c>
      <c r="F1000" t="s">
        <v>305</v>
      </c>
      <c r="G1000">
        <v>-122.34775500000001</v>
      </c>
      <c r="H1000">
        <v>47.730316000000002</v>
      </c>
      <c r="I1000" t="s">
        <v>956</v>
      </c>
      <c r="J1000">
        <f t="shared" si="15"/>
        <v>1</v>
      </c>
      <c r="K1000">
        <v>2</v>
      </c>
    </row>
    <row r="1001" spans="1:11" x14ac:dyDescent="0.25">
      <c r="A1001">
        <v>1703336</v>
      </c>
      <c r="B1001">
        <v>470</v>
      </c>
      <c r="C1001" t="s">
        <v>14</v>
      </c>
      <c r="D1001" s="1">
        <v>42457.397222222222</v>
      </c>
      <c r="E1001" t="s">
        <v>78</v>
      </c>
      <c r="F1001" t="s">
        <v>113</v>
      </c>
      <c r="G1001">
        <v>-122.37218</v>
      </c>
      <c r="H1001">
        <v>47.66789</v>
      </c>
      <c r="I1001" t="s">
        <v>957</v>
      </c>
      <c r="J1001">
        <f t="shared" si="15"/>
        <v>1</v>
      </c>
      <c r="K1001">
        <v>3</v>
      </c>
    </row>
    <row r="1002" spans="1:11" x14ac:dyDescent="0.25">
      <c r="A1002">
        <v>1703337</v>
      </c>
      <c r="B1002">
        <v>64</v>
      </c>
      <c r="C1002" t="s">
        <v>158</v>
      </c>
      <c r="D1002" s="1">
        <v>42457.408333333333</v>
      </c>
      <c r="E1002" t="s">
        <v>71</v>
      </c>
      <c r="F1002" t="s">
        <v>72</v>
      </c>
      <c r="G1002">
        <v>-122.31344</v>
      </c>
      <c r="H1002">
        <v>47.596653000000003</v>
      </c>
      <c r="I1002" t="s">
        <v>391</v>
      </c>
      <c r="J1002">
        <f t="shared" si="15"/>
        <v>4</v>
      </c>
      <c r="K1002">
        <v>1</v>
      </c>
    </row>
    <row r="1003" spans="1:11" x14ac:dyDescent="0.25">
      <c r="A1003">
        <v>1703338</v>
      </c>
      <c r="B1003">
        <v>101</v>
      </c>
      <c r="C1003" t="s">
        <v>695</v>
      </c>
      <c r="D1003" s="1">
        <v>42457.40625</v>
      </c>
      <c r="E1003" t="s">
        <v>40</v>
      </c>
      <c r="F1003" t="s">
        <v>115</v>
      </c>
      <c r="G1003">
        <v>-122.29877500000001</v>
      </c>
      <c r="H1003">
        <v>47.623126999999997</v>
      </c>
      <c r="I1003" t="s">
        <v>958</v>
      </c>
      <c r="J1003">
        <f t="shared" si="15"/>
        <v>2</v>
      </c>
      <c r="K1003">
        <v>3</v>
      </c>
    </row>
    <row r="1004" spans="1:11" x14ac:dyDescent="0.25">
      <c r="A1004">
        <v>1703339</v>
      </c>
      <c r="B1004">
        <v>430</v>
      </c>
      <c r="C1004" t="s">
        <v>70</v>
      </c>
      <c r="D1004" s="1">
        <v>42457.40902777778</v>
      </c>
      <c r="E1004" t="s">
        <v>95</v>
      </c>
      <c r="F1004" t="s">
        <v>367</v>
      </c>
      <c r="G1004">
        <v>-122.31740600000001</v>
      </c>
      <c r="H1004">
        <v>47.664935999999997</v>
      </c>
      <c r="I1004" t="s">
        <v>959</v>
      </c>
      <c r="J1004">
        <f t="shared" si="15"/>
        <v>1</v>
      </c>
      <c r="K1004">
        <v>2</v>
      </c>
    </row>
    <row r="1005" spans="1:11" x14ac:dyDescent="0.25">
      <c r="A1005">
        <v>1703340</v>
      </c>
      <c r="B1005">
        <v>63</v>
      </c>
      <c r="C1005" t="s">
        <v>87</v>
      </c>
      <c r="D1005" s="1">
        <v>42457.410416666666</v>
      </c>
      <c r="E1005" t="s">
        <v>40</v>
      </c>
      <c r="F1005" t="s">
        <v>115</v>
      </c>
      <c r="G1005">
        <v>-122.29877500000001</v>
      </c>
      <c r="H1005">
        <v>47.623126999999997</v>
      </c>
      <c r="I1005" t="s">
        <v>958</v>
      </c>
      <c r="J1005">
        <f t="shared" si="15"/>
        <v>2</v>
      </c>
      <c r="K1005">
        <v>2</v>
      </c>
    </row>
    <row r="1006" spans="1:11" x14ac:dyDescent="0.25">
      <c r="A1006">
        <v>1703341</v>
      </c>
      <c r="B1006">
        <v>470</v>
      </c>
      <c r="C1006" t="s">
        <v>14</v>
      </c>
      <c r="D1006" s="1">
        <v>42457.404166666667</v>
      </c>
      <c r="E1006" t="s">
        <v>64</v>
      </c>
      <c r="F1006" t="s">
        <v>215</v>
      </c>
      <c r="G1006">
        <v>-122.41198</v>
      </c>
      <c r="H1006">
        <v>47.578249999999997</v>
      </c>
      <c r="I1006" t="s">
        <v>960</v>
      </c>
      <c r="J1006">
        <f t="shared" si="15"/>
        <v>1</v>
      </c>
      <c r="K1006">
        <v>4</v>
      </c>
    </row>
    <row r="1007" spans="1:11" x14ac:dyDescent="0.25">
      <c r="A1007">
        <v>1703342</v>
      </c>
      <c r="B1007">
        <v>470</v>
      </c>
      <c r="C1007" t="s">
        <v>14</v>
      </c>
      <c r="D1007" s="1">
        <v>42457.409722222219</v>
      </c>
      <c r="E1007" t="s">
        <v>23</v>
      </c>
      <c r="F1007" t="s">
        <v>24</v>
      </c>
      <c r="G1007">
        <v>-122.39187</v>
      </c>
      <c r="H1007">
        <v>47.633327000000001</v>
      </c>
      <c r="I1007" t="s">
        <v>961</v>
      </c>
      <c r="J1007">
        <f t="shared" si="15"/>
        <v>1</v>
      </c>
      <c r="K1007">
        <v>1</v>
      </c>
    </row>
    <row r="1008" spans="1:11" x14ac:dyDescent="0.25">
      <c r="A1008">
        <v>1703343</v>
      </c>
      <c r="B1008">
        <v>176</v>
      </c>
      <c r="C1008" t="s">
        <v>28</v>
      </c>
      <c r="D1008" s="1">
        <v>42457.412499999999</v>
      </c>
      <c r="E1008" t="s">
        <v>95</v>
      </c>
      <c r="F1008" t="s">
        <v>98</v>
      </c>
      <c r="G1008">
        <v>-122.31764</v>
      </c>
      <c r="H1008">
        <v>47.661296999999998</v>
      </c>
      <c r="I1008" t="s">
        <v>962</v>
      </c>
      <c r="J1008">
        <f t="shared" si="15"/>
        <v>1</v>
      </c>
      <c r="K1008">
        <v>4</v>
      </c>
    </row>
    <row r="1009" spans="1:11" x14ac:dyDescent="0.25">
      <c r="A1009">
        <v>1703344</v>
      </c>
      <c r="B1009">
        <v>161</v>
      </c>
      <c r="C1009" t="s">
        <v>35</v>
      </c>
      <c r="D1009" s="1">
        <v>42457.413888888892</v>
      </c>
      <c r="E1009" t="s">
        <v>78</v>
      </c>
      <c r="F1009" t="s">
        <v>79</v>
      </c>
      <c r="G1009">
        <v>-122.3749</v>
      </c>
      <c r="H1009">
        <v>47.66789</v>
      </c>
      <c r="I1009" t="s">
        <v>963</v>
      </c>
      <c r="J1009">
        <f t="shared" si="15"/>
        <v>1</v>
      </c>
      <c r="K1009">
        <v>1</v>
      </c>
    </row>
    <row r="1010" spans="1:11" x14ac:dyDescent="0.25">
      <c r="A1010">
        <v>1703345</v>
      </c>
      <c r="B1010">
        <v>63</v>
      </c>
      <c r="C1010" t="s">
        <v>87</v>
      </c>
      <c r="D1010" s="1">
        <v>42457.410416666666</v>
      </c>
      <c r="E1010" t="s">
        <v>19</v>
      </c>
      <c r="F1010" t="s">
        <v>50</v>
      </c>
      <c r="G1010">
        <v>-122.32905599999999</v>
      </c>
      <c r="H1010">
        <v>47.576650000000001</v>
      </c>
      <c r="I1010" t="s">
        <v>964</v>
      </c>
      <c r="J1010">
        <f t="shared" si="15"/>
        <v>1</v>
      </c>
      <c r="K1010">
        <v>0</v>
      </c>
    </row>
    <row r="1011" spans="1:11" x14ac:dyDescent="0.25">
      <c r="A1011">
        <v>1703346</v>
      </c>
      <c r="B1011">
        <v>130</v>
      </c>
      <c r="C1011" t="s">
        <v>248</v>
      </c>
      <c r="D1011" s="1">
        <v>42457.414583333331</v>
      </c>
      <c r="E1011" t="s">
        <v>64</v>
      </c>
      <c r="F1011" t="s">
        <v>215</v>
      </c>
      <c r="G1011">
        <v>-122.411964</v>
      </c>
      <c r="H1011">
        <v>47.578740000000003</v>
      </c>
      <c r="I1011" t="s">
        <v>965</v>
      </c>
      <c r="J1011">
        <f t="shared" si="15"/>
        <v>1</v>
      </c>
      <c r="K1011">
        <v>4</v>
      </c>
    </row>
    <row r="1012" spans="1:11" x14ac:dyDescent="0.25">
      <c r="A1012">
        <v>1703347</v>
      </c>
      <c r="B1012">
        <v>245</v>
      </c>
      <c r="C1012" t="s">
        <v>32</v>
      </c>
      <c r="D1012" s="1">
        <v>42457.411805555559</v>
      </c>
      <c r="E1012" t="s">
        <v>78</v>
      </c>
      <c r="F1012" t="s">
        <v>79</v>
      </c>
      <c r="G1012">
        <v>-122.38473999999999</v>
      </c>
      <c r="H1012">
        <v>47.670546999999999</v>
      </c>
      <c r="I1012" t="s">
        <v>912</v>
      </c>
      <c r="J1012">
        <f t="shared" si="15"/>
        <v>2</v>
      </c>
      <c r="K1012">
        <v>1</v>
      </c>
    </row>
    <row r="1013" spans="1:11" x14ac:dyDescent="0.25">
      <c r="A1013">
        <v>1703348</v>
      </c>
      <c r="B1013">
        <v>52</v>
      </c>
      <c r="C1013" t="s">
        <v>57</v>
      </c>
      <c r="D1013" s="1">
        <v>42457.413888888892</v>
      </c>
      <c r="E1013" t="s">
        <v>95</v>
      </c>
      <c r="F1013" t="s">
        <v>367</v>
      </c>
      <c r="G1013">
        <v>-122.315</v>
      </c>
      <c r="H1013">
        <v>47.675808000000004</v>
      </c>
      <c r="I1013" t="s">
        <v>966</v>
      </c>
      <c r="J1013">
        <f t="shared" si="15"/>
        <v>1</v>
      </c>
      <c r="K1013">
        <v>0</v>
      </c>
    </row>
    <row r="1014" spans="1:11" x14ac:dyDescent="0.25">
      <c r="A1014">
        <v>1703349</v>
      </c>
      <c r="B1014">
        <v>245</v>
      </c>
      <c r="C1014" t="s">
        <v>32</v>
      </c>
      <c r="D1014" s="1">
        <v>42457.421527777777</v>
      </c>
      <c r="E1014" t="s">
        <v>43</v>
      </c>
      <c r="F1014" t="s">
        <v>44</v>
      </c>
      <c r="G1014">
        <v>-122.33139</v>
      </c>
      <c r="H1014">
        <v>47.601073999999997</v>
      </c>
      <c r="I1014" t="s">
        <v>180</v>
      </c>
      <c r="J1014">
        <f t="shared" si="15"/>
        <v>2</v>
      </c>
      <c r="K1014">
        <v>1</v>
      </c>
    </row>
    <row r="1015" spans="1:11" x14ac:dyDescent="0.25">
      <c r="A1015">
        <v>1703350</v>
      </c>
      <c r="B1015">
        <v>177</v>
      </c>
      <c r="C1015" t="s">
        <v>61</v>
      </c>
      <c r="D1015" s="1">
        <v>42457.42083333333</v>
      </c>
      <c r="E1015" t="s">
        <v>52</v>
      </c>
      <c r="F1015" t="s">
        <v>232</v>
      </c>
      <c r="G1015">
        <v>-122.40213</v>
      </c>
      <c r="H1015">
        <v>47.677013000000002</v>
      </c>
      <c r="I1015" t="s">
        <v>967</v>
      </c>
      <c r="J1015">
        <f t="shared" si="15"/>
        <v>1</v>
      </c>
      <c r="K1015">
        <v>1</v>
      </c>
    </row>
    <row r="1016" spans="1:11" x14ac:dyDescent="0.25">
      <c r="A1016">
        <v>1703351</v>
      </c>
      <c r="B1016">
        <v>281</v>
      </c>
      <c r="C1016" t="s">
        <v>26</v>
      </c>
      <c r="D1016" s="1">
        <v>42457.419444444444</v>
      </c>
      <c r="E1016" t="s">
        <v>130</v>
      </c>
      <c r="F1016" t="s">
        <v>131</v>
      </c>
      <c r="G1016">
        <v>-122.29781</v>
      </c>
      <c r="H1016">
        <v>47.714911999999998</v>
      </c>
      <c r="I1016" t="s">
        <v>968</v>
      </c>
      <c r="J1016">
        <f t="shared" si="15"/>
        <v>1</v>
      </c>
      <c r="K1016">
        <v>1</v>
      </c>
    </row>
    <row r="1017" spans="1:11" x14ac:dyDescent="0.25">
      <c r="A1017">
        <v>1703352</v>
      </c>
      <c r="B1017">
        <v>280</v>
      </c>
      <c r="C1017" t="s">
        <v>22</v>
      </c>
      <c r="D1017" s="1">
        <v>42457.427777777775</v>
      </c>
      <c r="E1017" t="s">
        <v>40</v>
      </c>
      <c r="F1017" t="s">
        <v>115</v>
      </c>
      <c r="G1017">
        <v>-122.30116</v>
      </c>
      <c r="H1017">
        <v>47.623519999999999</v>
      </c>
      <c r="I1017" t="s">
        <v>969</v>
      </c>
      <c r="J1017">
        <f t="shared" si="15"/>
        <v>1</v>
      </c>
      <c r="K1017">
        <v>1</v>
      </c>
    </row>
    <row r="1018" spans="1:11" x14ac:dyDescent="0.25">
      <c r="A1018">
        <v>1703354</v>
      </c>
      <c r="B1018">
        <v>460</v>
      </c>
      <c r="C1018" t="s">
        <v>18</v>
      </c>
      <c r="D1018" s="1">
        <v>42457.423611111109</v>
      </c>
      <c r="E1018" t="s">
        <v>29</v>
      </c>
      <c r="F1018" t="s">
        <v>156</v>
      </c>
      <c r="G1018">
        <v>-122.28686500000001</v>
      </c>
      <c r="H1018">
        <v>47.537300000000002</v>
      </c>
      <c r="I1018" t="s">
        <v>970</v>
      </c>
      <c r="J1018">
        <f t="shared" si="15"/>
        <v>1</v>
      </c>
      <c r="K1018">
        <v>0</v>
      </c>
    </row>
    <row r="1019" spans="1:11" x14ac:dyDescent="0.25">
      <c r="A1019">
        <v>1703355</v>
      </c>
      <c r="B1019">
        <v>430</v>
      </c>
      <c r="C1019" t="s">
        <v>70</v>
      </c>
      <c r="D1019" s="1">
        <v>42457.429166666669</v>
      </c>
      <c r="E1019" t="s">
        <v>11</v>
      </c>
      <c r="F1019" t="s">
        <v>245</v>
      </c>
      <c r="G1019">
        <v>-122.30173499999999</v>
      </c>
      <c r="H1019">
        <v>47.555079999999997</v>
      </c>
      <c r="I1019" t="s">
        <v>971</v>
      </c>
      <c r="J1019">
        <f t="shared" si="15"/>
        <v>1</v>
      </c>
      <c r="K1019">
        <v>1</v>
      </c>
    </row>
    <row r="1020" spans="1:11" x14ac:dyDescent="0.25">
      <c r="A1020">
        <v>1703356</v>
      </c>
      <c r="B1020">
        <v>470</v>
      </c>
      <c r="C1020" t="s">
        <v>14</v>
      </c>
      <c r="D1020" s="1">
        <v>42457.427083333336</v>
      </c>
      <c r="E1020" t="s">
        <v>52</v>
      </c>
      <c r="F1020" t="s">
        <v>232</v>
      </c>
      <c r="G1020">
        <v>-122.37513</v>
      </c>
      <c r="H1020">
        <v>47.678673000000003</v>
      </c>
      <c r="I1020" t="s">
        <v>972</v>
      </c>
      <c r="J1020">
        <f t="shared" si="15"/>
        <v>1</v>
      </c>
      <c r="K1020">
        <v>1</v>
      </c>
    </row>
    <row r="1021" spans="1:11" x14ac:dyDescent="0.25">
      <c r="A1021">
        <v>1703357</v>
      </c>
      <c r="B1021">
        <v>41</v>
      </c>
      <c r="C1021" t="s">
        <v>134</v>
      </c>
      <c r="D1021" s="1">
        <v>42457.425694444442</v>
      </c>
      <c r="E1021" t="s">
        <v>29</v>
      </c>
      <c r="F1021" t="s">
        <v>30</v>
      </c>
      <c r="G1021">
        <v>-122.26926</v>
      </c>
      <c r="H1021">
        <v>47.519919999999999</v>
      </c>
      <c r="I1021" t="s">
        <v>854</v>
      </c>
      <c r="J1021">
        <f t="shared" si="15"/>
        <v>2</v>
      </c>
      <c r="K1021">
        <v>1</v>
      </c>
    </row>
    <row r="1022" spans="1:11" x14ac:dyDescent="0.25">
      <c r="A1022">
        <v>1703358</v>
      </c>
      <c r="B1022">
        <v>71</v>
      </c>
      <c r="C1022" t="s">
        <v>142</v>
      </c>
      <c r="D1022" s="1">
        <v>42457.425000000003</v>
      </c>
      <c r="E1022" t="s">
        <v>104</v>
      </c>
      <c r="F1022" t="s">
        <v>184</v>
      </c>
      <c r="G1022">
        <v>-122.369804</v>
      </c>
      <c r="H1022">
        <v>47.536453000000002</v>
      </c>
      <c r="I1022" t="s">
        <v>973</v>
      </c>
      <c r="J1022">
        <f t="shared" si="15"/>
        <v>1</v>
      </c>
      <c r="K1022">
        <v>3</v>
      </c>
    </row>
    <row r="1023" spans="1:11" x14ac:dyDescent="0.25">
      <c r="A1023">
        <v>1703359</v>
      </c>
      <c r="B1023">
        <v>330</v>
      </c>
      <c r="C1023" t="s">
        <v>547</v>
      </c>
      <c r="D1023" s="1">
        <v>42457.423611111109</v>
      </c>
      <c r="E1023" t="s">
        <v>47</v>
      </c>
      <c r="F1023" t="s">
        <v>90</v>
      </c>
      <c r="G1023">
        <v>-122.32286000000001</v>
      </c>
      <c r="H1023">
        <v>47.618729999999999</v>
      </c>
      <c r="I1023" t="s">
        <v>880</v>
      </c>
      <c r="J1023">
        <f t="shared" si="15"/>
        <v>2</v>
      </c>
      <c r="K1023">
        <v>1</v>
      </c>
    </row>
    <row r="1024" spans="1:11" x14ac:dyDescent="0.25">
      <c r="A1024">
        <v>1703360</v>
      </c>
      <c r="B1024">
        <v>371</v>
      </c>
      <c r="C1024" t="s">
        <v>663</v>
      </c>
      <c r="D1024" s="1">
        <v>42457.434027777781</v>
      </c>
      <c r="E1024" t="s">
        <v>81</v>
      </c>
      <c r="F1024" t="s">
        <v>82</v>
      </c>
      <c r="G1024">
        <v>-122.33617</v>
      </c>
      <c r="H1024">
        <v>47.616055000000003</v>
      </c>
      <c r="I1024" t="s">
        <v>716</v>
      </c>
      <c r="J1024">
        <f t="shared" si="15"/>
        <v>3</v>
      </c>
      <c r="K1024">
        <v>0</v>
      </c>
    </row>
    <row r="1025" spans="1:11" x14ac:dyDescent="0.25">
      <c r="A1025">
        <v>1703361</v>
      </c>
      <c r="B1025">
        <v>63</v>
      </c>
      <c r="C1025" t="s">
        <v>87</v>
      </c>
      <c r="D1025" s="1">
        <v>42457.436805555553</v>
      </c>
      <c r="E1025" t="s">
        <v>52</v>
      </c>
      <c r="F1025" t="s">
        <v>53</v>
      </c>
      <c r="G1025">
        <v>-122.32239</v>
      </c>
      <c r="H1025">
        <v>47.679139999999997</v>
      </c>
      <c r="I1025" t="s">
        <v>974</v>
      </c>
      <c r="J1025">
        <f t="shared" si="15"/>
        <v>1</v>
      </c>
      <c r="K1025">
        <v>0</v>
      </c>
    </row>
    <row r="1026" spans="1:11" x14ac:dyDescent="0.25">
      <c r="A1026">
        <v>1703362</v>
      </c>
      <c r="B1026">
        <v>430</v>
      </c>
      <c r="C1026" t="s">
        <v>70</v>
      </c>
      <c r="D1026" s="1">
        <v>42457.43472222222</v>
      </c>
      <c r="E1026" t="s">
        <v>145</v>
      </c>
      <c r="F1026" t="s">
        <v>314</v>
      </c>
      <c r="G1026">
        <v>-122.35545</v>
      </c>
      <c r="H1026">
        <v>47.705081999999997</v>
      </c>
      <c r="I1026" t="s">
        <v>975</v>
      </c>
      <c r="J1026">
        <f t="shared" ref="J1026:J1089" si="16">COUNTIF($I$2:$I$1046,I1026)</f>
        <v>1</v>
      </c>
      <c r="K1026">
        <v>1</v>
      </c>
    </row>
    <row r="1027" spans="1:11" x14ac:dyDescent="0.25">
      <c r="A1027">
        <v>1703363</v>
      </c>
      <c r="B1027">
        <v>460</v>
      </c>
      <c r="C1027" t="s">
        <v>18</v>
      </c>
      <c r="D1027" s="1">
        <v>42457.436111111114</v>
      </c>
      <c r="E1027" t="s">
        <v>78</v>
      </c>
      <c r="F1027" t="s">
        <v>79</v>
      </c>
      <c r="G1027">
        <v>-122.3789</v>
      </c>
      <c r="H1027">
        <v>47.662936999999999</v>
      </c>
      <c r="I1027" t="s">
        <v>976</v>
      </c>
      <c r="J1027">
        <f t="shared" si="16"/>
        <v>1</v>
      </c>
      <c r="K1027">
        <v>3</v>
      </c>
    </row>
    <row r="1028" spans="1:11" x14ac:dyDescent="0.25">
      <c r="A1028">
        <v>1703364</v>
      </c>
      <c r="B1028">
        <v>202</v>
      </c>
      <c r="C1028" t="s">
        <v>355</v>
      </c>
      <c r="D1028" s="1">
        <v>42457.443749999999</v>
      </c>
      <c r="E1028" t="s">
        <v>19</v>
      </c>
      <c r="F1028" t="s">
        <v>50</v>
      </c>
      <c r="G1028">
        <v>-122.33783</v>
      </c>
      <c r="H1028">
        <v>47.554977000000001</v>
      </c>
      <c r="I1028" t="s">
        <v>977</v>
      </c>
      <c r="J1028">
        <f t="shared" si="16"/>
        <v>1</v>
      </c>
      <c r="K1028">
        <v>3</v>
      </c>
    </row>
    <row r="1029" spans="1:11" x14ac:dyDescent="0.25">
      <c r="A1029">
        <v>1703365</v>
      </c>
      <c r="B1029">
        <v>470</v>
      </c>
      <c r="C1029" t="s">
        <v>14</v>
      </c>
      <c r="D1029" s="1">
        <v>42457.44027777778</v>
      </c>
      <c r="E1029" t="s">
        <v>47</v>
      </c>
      <c r="F1029" t="s">
        <v>177</v>
      </c>
      <c r="G1029">
        <v>-122.326904</v>
      </c>
      <c r="H1029">
        <v>47.609585000000003</v>
      </c>
      <c r="I1029" t="s">
        <v>978</v>
      </c>
      <c r="J1029">
        <f t="shared" si="16"/>
        <v>1</v>
      </c>
      <c r="K1029">
        <v>1</v>
      </c>
    </row>
    <row r="1030" spans="1:11" x14ac:dyDescent="0.25">
      <c r="A1030">
        <v>1703366</v>
      </c>
      <c r="B1030">
        <v>245</v>
      </c>
      <c r="C1030" t="s">
        <v>32</v>
      </c>
      <c r="D1030" s="1">
        <v>42457.438194444447</v>
      </c>
      <c r="E1030" t="s">
        <v>78</v>
      </c>
      <c r="F1030" t="s">
        <v>85</v>
      </c>
      <c r="G1030">
        <v>-122.34213</v>
      </c>
      <c r="H1030">
        <v>47.661754999999999</v>
      </c>
      <c r="I1030" t="s">
        <v>813</v>
      </c>
      <c r="J1030">
        <f t="shared" si="16"/>
        <v>2</v>
      </c>
      <c r="K1030">
        <v>1</v>
      </c>
    </row>
    <row r="1031" spans="1:11" x14ac:dyDescent="0.25">
      <c r="A1031">
        <v>1703367</v>
      </c>
      <c r="B1031">
        <v>470</v>
      </c>
      <c r="C1031" t="s">
        <v>14</v>
      </c>
      <c r="D1031" s="1">
        <v>42457.443749999999</v>
      </c>
      <c r="E1031" t="s">
        <v>78</v>
      </c>
      <c r="F1031" t="s">
        <v>85</v>
      </c>
      <c r="G1031">
        <v>-122.32616400000001</v>
      </c>
      <c r="H1031">
        <v>47.662260000000003</v>
      </c>
      <c r="I1031" t="s">
        <v>979</v>
      </c>
      <c r="J1031">
        <f t="shared" si="16"/>
        <v>1</v>
      </c>
      <c r="K1031">
        <v>1</v>
      </c>
    </row>
    <row r="1032" spans="1:11" x14ac:dyDescent="0.25">
      <c r="A1032">
        <v>1703368</v>
      </c>
      <c r="B1032">
        <v>63</v>
      </c>
      <c r="C1032" t="s">
        <v>87</v>
      </c>
      <c r="D1032" s="1">
        <v>42457.442361111112</v>
      </c>
      <c r="E1032" t="s">
        <v>71</v>
      </c>
      <c r="F1032" t="s">
        <v>72</v>
      </c>
      <c r="G1032">
        <v>-122.34175</v>
      </c>
      <c r="H1032">
        <v>47.607258000000002</v>
      </c>
      <c r="I1032" t="s">
        <v>980</v>
      </c>
      <c r="J1032">
        <f t="shared" si="16"/>
        <v>1</v>
      </c>
      <c r="K1032">
        <v>1</v>
      </c>
    </row>
    <row r="1033" spans="1:11" x14ac:dyDescent="0.25">
      <c r="A1033">
        <v>1703369</v>
      </c>
      <c r="B1033">
        <v>245</v>
      </c>
      <c r="C1033" t="s">
        <v>32</v>
      </c>
      <c r="D1033" s="1">
        <v>42457.449305555558</v>
      </c>
      <c r="E1033" t="s">
        <v>67</v>
      </c>
      <c r="F1033" t="s">
        <v>100</v>
      </c>
      <c r="G1033">
        <v>-122.3424</v>
      </c>
      <c r="H1033">
        <v>47.612118000000002</v>
      </c>
      <c r="I1033" t="s">
        <v>299</v>
      </c>
      <c r="J1033">
        <f t="shared" si="16"/>
        <v>3</v>
      </c>
      <c r="K1033">
        <v>3</v>
      </c>
    </row>
    <row r="1034" spans="1:11" x14ac:dyDescent="0.25">
      <c r="A1034">
        <v>1703370</v>
      </c>
      <c r="B1034">
        <v>245</v>
      </c>
      <c r="C1034" t="s">
        <v>32</v>
      </c>
      <c r="D1034" s="1">
        <v>42457.442361111112</v>
      </c>
      <c r="E1034" t="s">
        <v>19</v>
      </c>
      <c r="F1034" t="s">
        <v>20</v>
      </c>
      <c r="G1034">
        <v>-122.33327</v>
      </c>
      <c r="H1034">
        <v>47.585039999999999</v>
      </c>
      <c r="I1034" t="s">
        <v>981</v>
      </c>
      <c r="J1034">
        <f t="shared" si="16"/>
        <v>1</v>
      </c>
      <c r="K1034">
        <v>3</v>
      </c>
    </row>
    <row r="1035" spans="1:11" x14ac:dyDescent="0.25">
      <c r="A1035">
        <v>1703371</v>
      </c>
      <c r="B1035">
        <v>52</v>
      </c>
      <c r="C1035" t="s">
        <v>57</v>
      </c>
      <c r="D1035" s="1">
        <v>42457.442361111112</v>
      </c>
      <c r="E1035" t="s">
        <v>78</v>
      </c>
      <c r="F1035" t="s">
        <v>85</v>
      </c>
      <c r="G1035">
        <v>-122.32571</v>
      </c>
      <c r="H1035">
        <v>47.654335000000003</v>
      </c>
      <c r="I1035" t="s">
        <v>982</v>
      </c>
      <c r="J1035">
        <f t="shared" si="16"/>
        <v>1</v>
      </c>
      <c r="K1035">
        <v>1</v>
      </c>
    </row>
    <row r="1036" spans="1:11" x14ac:dyDescent="0.25">
      <c r="A1036">
        <v>1703372</v>
      </c>
      <c r="B1036">
        <v>280</v>
      </c>
      <c r="C1036" t="s">
        <v>22</v>
      </c>
      <c r="D1036" s="1">
        <v>42457.454861111109</v>
      </c>
      <c r="E1036" t="s">
        <v>95</v>
      </c>
      <c r="F1036" t="s">
        <v>98</v>
      </c>
      <c r="G1036">
        <v>-122.32245</v>
      </c>
      <c r="H1036">
        <v>47.656002000000001</v>
      </c>
      <c r="I1036" t="s">
        <v>983</v>
      </c>
      <c r="J1036">
        <f t="shared" si="16"/>
        <v>1</v>
      </c>
      <c r="K1036">
        <v>2</v>
      </c>
    </row>
    <row r="1037" spans="1:11" x14ac:dyDescent="0.25">
      <c r="A1037">
        <v>1703373</v>
      </c>
      <c r="B1037">
        <v>281</v>
      </c>
      <c r="C1037" t="s">
        <v>26</v>
      </c>
      <c r="D1037" s="1">
        <v>42457.447916666664</v>
      </c>
      <c r="E1037" t="s">
        <v>71</v>
      </c>
      <c r="F1037" t="s">
        <v>126</v>
      </c>
      <c r="G1037">
        <v>-122.38137</v>
      </c>
      <c r="H1037">
        <v>47.575595999999997</v>
      </c>
      <c r="I1037" t="s">
        <v>984</v>
      </c>
      <c r="J1037">
        <f t="shared" si="16"/>
        <v>1</v>
      </c>
      <c r="K1037">
        <v>2</v>
      </c>
    </row>
    <row r="1038" spans="1:11" x14ac:dyDescent="0.25">
      <c r="A1038">
        <v>1703374</v>
      </c>
      <c r="B1038">
        <v>73</v>
      </c>
      <c r="C1038" t="s">
        <v>458</v>
      </c>
      <c r="D1038" s="1">
        <v>42457.449305555558</v>
      </c>
      <c r="E1038" t="s">
        <v>29</v>
      </c>
      <c r="F1038" t="s">
        <v>156</v>
      </c>
      <c r="G1038">
        <v>-122.27983</v>
      </c>
      <c r="H1038">
        <v>47.518880000000003</v>
      </c>
      <c r="I1038" t="s">
        <v>985</v>
      </c>
      <c r="J1038">
        <f t="shared" si="16"/>
        <v>1</v>
      </c>
      <c r="K1038">
        <v>3</v>
      </c>
    </row>
    <row r="1039" spans="1:11" x14ac:dyDescent="0.25">
      <c r="A1039">
        <v>1703375</v>
      </c>
      <c r="B1039">
        <v>250</v>
      </c>
      <c r="C1039" t="s">
        <v>59</v>
      </c>
      <c r="D1039" s="1">
        <v>42457.458333333336</v>
      </c>
      <c r="E1039" t="s">
        <v>47</v>
      </c>
      <c r="F1039" t="s">
        <v>90</v>
      </c>
      <c r="G1039">
        <v>-122.320885</v>
      </c>
      <c r="H1039">
        <v>47.620489999999997</v>
      </c>
      <c r="I1039" t="s">
        <v>986</v>
      </c>
      <c r="J1039">
        <f t="shared" si="16"/>
        <v>1</v>
      </c>
      <c r="K1039">
        <v>3</v>
      </c>
    </row>
    <row r="1040" spans="1:11" x14ac:dyDescent="0.25">
      <c r="A1040">
        <v>1703376</v>
      </c>
      <c r="B1040">
        <v>245</v>
      </c>
      <c r="C1040" t="s">
        <v>32</v>
      </c>
      <c r="D1040" s="1">
        <v>42457.454861111109</v>
      </c>
      <c r="E1040" t="s">
        <v>47</v>
      </c>
      <c r="F1040" t="s">
        <v>48</v>
      </c>
      <c r="G1040">
        <v>-122.32145</v>
      </c>
      <c r="H1040">
        <v>47.614069999999998</v>
      </c>
      <c r="I1040" t="s">
        <v>987</v>
      </c>
      <c r="J1040">
        <f t="shared" si="16"/>
        <v>1</v>
      </c>
      <c r="K1040">
        <v>3</v>
      </c>
    </row>
    <row r="1041" spans="1:11" x14ac:dyDescent="0.25">
      <c r="A1041">
        <v>1703377</v>
      </c>
      <c r="B1041">
        <v>470</v>
      </c>
      <c r="C1041" t="s">
        <v>14</v>
      </c>
      <c r="D1041" s="1">
        <v>42457.454861111109</v>
      </c>
      <c r="E1041" t="s">
        <v>43</v>
      </c>
      <c r="F1041" t="s">
        <v>102</v>
      </c>
      <c r="G1041">
        <v>-122.33477000000001</v>
      </c>
      <c r="H1041">
        <v>47.607284999999997</v>
      </c>
      <c r="I1041" t="s">
        <v>988</v>
      </c>
      <c r="J1041">
        <f t="shared" si="16"/>
        <v>1</v>
      </c>
      <c r="K1041">
        <v>4</v>
      </c>
    </row>
    <row r="1042" spans="1:11" x14ac:dyDescent="0.25">
      <c r="A1042">
        <v>1703378</v>
      </c>
      <c r="B1042">
        <v>470</v>
      </c>
      <c r="C1042" t="s">
        <v>14</v>
      </c>
      <c r="D1042" s="1">
        <v>42457.453472222223</v>
      </c>
      <c r="E1042" t="s">
        <v>95</v>
      </c>
      <c r="F1042" t="s">
        <v>96</v>
      </c>
      <c r="G1042">
        <v>-122.28525999999999</v>
      </c>
      <c r="H1042">
        <v>47.684852999999997</v>
      </c>
      <c r="I1042" t="s">
        <v>989</v>
      </c>
      <c r="J1042">
        <f t="shared" si="16"/>
        <v>1</v>
      </c>
      <c r="K1042">
        <v>1</v>
      </c>
    </row>
    <row r="1043" spans="1:11" x14ac:dyDescent="0.25">
      <c r="A1043">
        <v>1703379</v>
      </c>
      <c r="B1043">
        <v>470</v>
      </c>
      <c r="C1043" t="s">
        <v>14</v>
      </c>
      <c r="D1043" s="1">
        <v>42457.454861111109</v>
      </c>
      <c r="E1043" t="s">
        <v>78</v>
      </c>
      <c r="F1043" t="s">
        <v>113</v>
      </c>
      <c r="G1043">
        <v>-122.370766</v>
      </c>
      <c r="H1043">
        <v>47.665042999999997</v>
      </c>
      <c r="I1043" t="s">
        <v>990</v>
      </c>
      <c r="J1043">
        <f t="shared" si="16"/>
        <v>1</v>
      </c>
      <c r="K1043">
        <v>1</v>
      </c>
    </row>
    <row r="1044" spans="1:11" x14ac:dyDescent="0.25">
      <c r="A1044">
        <v>1703380</v>
      </c>
      <c r="B1044">
        <v>280</v>
      </c>
      <c r="C1044" t="s">
        <v>22</v>
      </c>
      <c r="D1044" s="1">
        <v>42457.460416666669</v>
      </c>
      <c r="E1044" t="s">
        <v>104</v>
      </c>
      <c r="F1044" t="s">
        <v>184</v>
      </c>
      <c r="G1044">
        <v>-122.36215</v>
      </c>
      <c r="H1044">
        <v>47.535514999999997</v>
      </c>
      <c r="I1044" t="s">
        <v>955</v>
      </c>
      <c r="J1044">
        <f t="shared" si="16"/>
        <v>2</v>
      </c>
      <c r="K1044">
        <v>2</v>
      </c>
    </row>
    <row r="1045" spans="1:11" x14ac:dyDescent="0.25">
      <c r="A1045">
        <v>1703381</v>
      </c>
      <c r="B1045">
        <v>460</v>
      </c>
      <c r="C1045" t="s">
        <v>18</v>
      </c>
      <c r="D1045" s="1">
        <v>42457.460416666669</v>
      </c>
      <c r="E1045" t="s">
        <v>29</v>
      </c>
      <c r="F1045" t="s">
        <v>55</v>
      </c>
      <c r="G1045">
        <v>-122.27694</v>
      </c>
      <c r="H1045">
        <v>47.526114999999997</v>
      </c>
      <c r="I1045" t="s">
        <v>991</v>
      </c>
      <c r="J1045">
        <f t="shared" si="16"/>
        <v>1</v>
      </c>
      <c r="K1045">
        <v>1</v>
      </c>
    </row>
    <row r="1046" spans="1:11" x14ac:dyDescent="0.25">
      <c r="A1046">
        <v>1703382</v>
      </c>
      <c r="B1046">
        <v>430</v>
      </c>
      <c r="C1046" t="s">
        <v>70</v>
      </c>
      <c r="D1046" s="1">
        <v>42457.460416666669</v>
      </c>
      <c r="E1046" t="s">
        <v>19</v>
      </c>
      <c r="F1046" t="s">
        <v>20</v>
      </c>
      <c r="G1046">
        <v>-122.32139599999999</v>
      </c>
      <c r="H1046">
        <v>47.586205</v>
      </c>
      <c r="I1046" t="s">
        <v>75</v>
      </c>
      <c r="J1046">
        <f t="shared" si="16"/>
        <v>2</v>
      </c>
      <c r="K1046">
        <v>2</v>
      </c>
    </row>
  </sheetData>
  <autoFilter ref="A1:K1046" xr:uid="{951F82CB-9540-4393-A407-FCC0FEC16A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628B-15A2-42FD-AEEE-DD03A2DB3B88}">
  <dimension ref="A1:BO83"/>
  <sheetViews>
    <sheetView showGridLines="0" workbookViewId="0">
      <selection activeCell="B13" sqref="B13"/>
    </sheetView>
  </sheetViews>
  <sheetFormatPr defaultColWidth="0" defaultRowHeight="15" zeroHeight="1" x14ac:dyDescent="0.25"/>
  <cols>
    <col min="1" max="1" width="10.140625" style="6" bestFit="1" customWidth="1"/>
    <col min="2" max="2" width="13.140625" style="6" bestFit="1" customWidth="1"/>
    <col min="3" max="10" width="11.28515625" style="6" customWidth="1"/>
    <col min="11" max="16" width="2.7109375" style="6" hidden="1" customWidth="1"/>
    <col min="17" max="66" width="3.7109375" style="6" hidden="1" customWidth="1"/>
    <col min="67" max="67" width="10" style="6" hidden="1" customWidth="1"/>
    <col min="68" max="16384" width="9" style="6" hidden="1"/>
  </cols>
  <sheetData>
    <row r="1" spans="1:2" x14ac:dyDescent="0.25">
      <c r="A1" s="4" t="s">
        <v>997</v>
      </c>
      <c r="B1" t="s">
        <v>998</v>
      </c>
    </row>
    <row r="2" spans="1:2" x14ac:dyDescent="0.25">
      <c r="A2" s="5" t="s">
        <v>994</v>
      </c>
      <c r="B2" s="3">
        <v>243</v>
      </c>
    </row>
    <row r="3" spans="1:2" x14ac:dyDescent="0.25">
      <c r="A3" s="5" t="s">
        <v>995</v>
      </c>
      <c r="B3" s="3">
        <v>583</v>
      </c>
    </row>
    <row r="4" spans="1:2" x14ac:dyDescent="0.25">
      <c r="A4" s="5" t="s">
        <v>996</v>
      </c>
      <c r="B4" s="3">
        <v>219</v>
      </c>
    </row>
    <row r="5" spans="1:2" x14ac:dyDescent="0.25">
      <c r="A5" s="5" t="s">
        <v>993</v>
      </c>
      <c r="B5" s="3">
        <v>1045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3:67" hidden="1" x14ac:dyDescent="0.25"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3:67" hidden="1" x14ac:dyDescent="0.25"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</row>
    <row r="19" spans="3:67" hidden="1" x14ac:dyDescent="0.25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</row>
    <row r="20" spans="3:67" hidden="1" x14ac:dyDescent="0.25">
      <c r="C20"/>
    </row>
    <row r="21" spans="3:67" hidden="1" x14ac:dyDescent="0.25">
      <c r="C21"/>
    </row>
    <row r="22" spans="3:67" hidden="1" x14ac:dyDescent="0.25">
      <c r="C22"/>
    </row>
    <row r="23" spans="3:67" hidden="1" x14ac:dyDescent="0.25">
      <c r="C23"/>
    </row>
    <row r="24" spans="3:67" hidden="1" x14ac:dyDescent="0.25">
      <c r="C24"/>
    </row>
    <row r="25" spans="3:67" hidden="1" x14ac:dyDescent="0.25">
      <c r="C25"/>
    </row>
    <row r="26" spans="3:67" hidden="1" x14ac:dyDescent="0.25">
      <c r="C26"/>
    </row>
    <row r="27" spans="3:67" hidden="1" x14ac:dyDescent="0.25">
      <c r="C27"/>
    </row>
    <row r="28" spans="3:67" hidden="1" x14ac:dyDescent="0.25">
      <c r="C28"/>
    </row>
    <row r="29" spans="3:67" hidden="1" x14ac:dyDescent="0.25">
      <c r="C29"/>
    </row>
    <row r="30" spans="3:67" hidden="1" x14ac:dyDescent="0.25">
      <c r="C30"/>
    </row>
    <row r="31" spans="3:67" hidden="1" x14ac:dyDescent="0.25">
      <c r="C31"/>
    </row>
    <row r="32" spans="3:67" hidden="1" x14ac:dyDescent="0.25">
      <c r="C32"/>
    </row>
    <row r="33" spans="3:3" hidden="1" x14ac:dyDescent="0.25">
      <c r="C33"/>
    </row>
    <row r="34" spans="3:3" hidden="1" x14ac:dyDescent="0.25">
      <c r="C34"/>
    </row>
    <row r="35" spans="3:3" hidden="1" x14ac:dyDescent="0.25"/>
    <row r="36" spans="3:3" hidden="1" x14ac:dyDescent="0.25"/>
    <row r="37" spans="3:3" hidden="1" x14ac:dyDescent="0.25"/>
    <row r="38" spans="3:3" hidden="1" x14ac:dyDescent="0.25"/>
    <row r="39" spans="3:3" hidden="1" x14ac:dyDescent="0.25"/>
    <row r="40" spans="3:3" hidden="1" x14ac:dyDescent="0.25"/>
    <row r="41" spans="3:3" hidden="1" x14ac:dyDescent="0.25"/>
    <row r="42" spans="3:3" hidden="1" x14ac:dyDescent="0.25"/>
    <row r="43" spans="3:3" hidden="1" x14ac:dyDescent="0.25"/>
    <row r="44" spans="3:3" hidden="1" x14ac:dyDescent="0.25"/>
    <row r="45" spans="3:3" hidden="1" x14ac:dyDescent="0.25"/>
    <row r="46" spans="3:3" hidden="1" x14ac:dyDescent="0.25"/>
    <row r="47" spans="3:3" hidden="1" x14ac:dyDescent="0.25"/>
    <row r="48" spans="3: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D3A9-ADE3-4EAE-A67F-D5C3B26F7585}">
  <dimension ref="A1:K97"/>
  <sheetViews>
    <sheetView showGridLines="0" workbookViewId="0">
      <selection activeCell="E6" sqref="E6"/>
    </sheetView>
  </sheetViews>
  <sheetFormatPr defaultColWidth="0" defaultRowHeight="15" zeroHeight="1" x14ac:dyDescent="0.25"/>
  <cols>
    <col min="1" max="1" width="67" bestFit="1" customWidth="1"/>
    <col min="2" max="2" width="13.7109375" bestFit="1" customWidth="1"/>
    <col min="3" max="11" width="9" customWidth="1"/>
    <col min="12" max="16384" width="9" hidden="1"/>
  </cols>
  <sheetData>
    <row r="1" spans="1:2" x14ac:dyDescent="0.25">
      <c r="A1" s="4" t="s">
        <v>999</v>
      </c>
      <c r="B1" t="s">
        <v>998</v>
      </c>
    </row>
    <row r="2" spans="1:2" x14ac:dyDescent="0.25">
      <c r="A2" s="5" t="s">
        <v>688</v>
      </c>
      <c r="B2" s="3">
        <v>1</v>
      </c>
    </row>
    <row r="3" spans="1:2" x14ac:dyDescent="0.25">
      <c r="A3" s="5" t="s">
        <v>108</v>
      </c>
      <c r="B3" s="3">
        <v>1</v>
      </c>
    </row>
    <row r="4" spans="1:2" x14ac:dyDescent="0.25">
      <c r="A4" s="5" t="s">
        <v>169</v>
      </c>
      <c r="B4" s="3">
        <v>1</v>
      </c>
    </row>
    <row r="5" spans="1:2" x14ac:dyDescent="0.25">
      <c r="A5" s="5" t="s">
        <v>669</v>
      </c>
      <c r="B5" s="3">
        <v>1</v>
      </c>
    </row>
    <row r="6" spans="1:2" x14ac:dyDescent="0.25">
      <c r="A6" s="5" t="s">
        <v>733</v>
      </c>
      <c r="B6" s="3">
        <v>1</v>
      </c>
    </row>
    <row r="7" spans="1:2" x14ac:dyDescent="0.25">
      <c r="A7" s="5" t="s">
        <v>415</v>
      </c>
      <c r="B7" s="3">
        <v>1</v>
      </c>
    </row>
    <row r="8" spans="1:2" x14ac:dyDescent="0.25">
      <c r="A8" s="5" t="s">
        <v>361</v>
      </c>
      <c r="B8" s="3">
        <v>1</v>
      </c>
    </row>
    <row r="9" spans="1:2" x14ac:dyDescent="0.25">
      <c r="A9" s="5" t="s">
        <v>861</v>
      </c>
      <c r="B9" s="3">
        <v>1</v>
      </c>
    </row>
    <row r="10" spans="1:2" x14ac:dyDescent="0.25">
      <c r="A10" s="5" t="s">
        <v>842</v>
      </c>
      <c r="B10" s="3">
        <v>1</v>
      </c>
    </row>
    <row r="11" spans="1:2" x14ac:dyDescent="0.25">
      <c r="A11" s="5" t="s">
        <v>253</v>
      </c>
      <c r="B11" s="3">
        <v>1</v>
      </c>
    </row>
    <row r="12" spans="1:2" x14ac:dyDescent="0.25">
      <c r="A12" s="5" t="s">
        <v>316</v>
      </c>
      <c r="B12" s="3">
        <v>2</v>
      </c>
    </row>
    <row r="13" spans="1:2" x14ac:dyDescent="0.25">
      <c r="A13" s="5" t="s">
        <v>240</v>
      </c>
      <c r="B13" s="3">
        <v>2</v>
      </c>
    </row>
    <row r="14" spans="1:2" x14ac:dyDescent="0.25">
      <c r="A14" s="5" t="s">
        <v>695</v>
      </c>
      <c r="B14" s="3">
        <v>2</v>
      </c>
    </row>
    <row r="15" spans="1:2" x14ac:dyDescent="0.25">
      <c r="A15" s="5" t="s">
        <v>322</v>
      </c>
      <c r="B15" s="3">
        <v>2</v>
      </c>
    </row>
    <row r="16" spans="1:2" x14ac:dyDescent="0.25">
      <c r="A16" s="5" t="s">
        <v>77</v>
      </c>
      <c r="B16" s="3">
        <v>2</v>
      </c>
    </row>
    <row r="17" spans="1:2" x14ac:dyDescent="0.25">
      <c r="A17" s="5" t="s">
        <v>663</v>
      </c>
      <c r="B17" s="3">
        <v>2</v>
      </c>
    </row>
    <row r="18" spans="1:2" x14ac:dyDescent="0.25">
      <c r="A18" s="5" t="s">
        <v>344</v>
      </c>
      <c r="B18" s="3">
        <v>3</v>
      </c>
    </row>
    <row r="19" spans="1:2" x14ac:dyDescent="0.25">
      <c r="A19" s="5" t="s">
        <v>334</v>
      </c>
      <c r="B19" s="3">
        <v>3</v>
      </c>
    </row>
    <row r="20" spans="1:2" x14ac:dyDescent="0.25">
      <c r="A20" s="5" t="s">
        <v>207</v>
      </c>
      <c r="B20" s="3">
        <v>3</v>
      </c>
    </row>
    <row r="21" spans="1:2" x14ac:dyDescent="0.25">
      <c r="A21" s="5" t="s">
        <v>568</v>
      </c>
      <c r="B21" s="3">
        <v>3</v>
      </c>
    </row>
    <row r="22" spans="1:2" x14ac:dyDescent="0.25">
      <c r="A22" s="5" t="s">
        <v>197</v>
      </c>
      <c r="B22" s="3">
        <v>3</v>
      </c>
    </row>
    <row r="23" spans="1:2" x14ac:dyDescent="0.25">
      <c r="A23" s="5" t="s">
        <v>63</v>
      </c>
      <c r="B23" s="3">
        <v>3</v>
      </c>
    </row>
    <row r="24" spans="1:2" x14ac:dyDescent="0.25">
      <c r="A24" s="5" t="s">
        <v>645</v>
      </c>
      <c r="B24" s="3">
        <v>3</v>
      </c>
    </row>
    <row r="25" spans="1:2" x14ac:dyDescent="0.25">
      <c r="A25" s="5" t="s">
        <v>458</v>
      </c>
      <c r="B25" s="3">
        <v>3</v>
      </c>
    </row>
    <row r="26" spans="1:2" x14ac:dyDescent="0.25">
      <c r="A26" s="5" t="s">
        <v>117</v>
      </c>
      <c r="B26" s="3">
        <v>3</v>
      </c>
    </row>
    <row r="27" spans="1:2" x14ac:dyDescent="0.25">
      <c r="A27" s="5" t="s">
        <v>504</v>
      </c>
      <c r="B27" s="3">
        <v>3</v>
      </c>
    </row>
    <row r="28" spans="1:2" x14ac:dyDescent="0.25">
      <c r="A28" s="5" t="s">
        <v>355</v>
      </c>
      <c r="B28" s="3">
        <v>3</v>
      </c>
    </row>
    <row r="29" spans="1:2" x14ac:dyDescent="0.25">
      <c r="A29" s="5" t="s">
        <v>228</v>
      </c>
      <c r="B29" s="3">
        <v>4</v>
      </c>
    </row>
    <row r="30" spans="1:2" x14ac:dyDescent="0.25">
      <c r="A30" s="5" t="s">
        <v>140</v>
      </c>
      <c r="B30" s="3">
        <v>4</v>
      </c>
    </row>
    <row r="31" spans="1:2" x14ac:dyDescent="0.25">
      <c r="A31" s="5" t="s">
        <v>122</v>
      </c>
      <c r="B31" s="3">
        <v>4</v>
      </c>
    </row>
    <row r="32" spans="1:2" x14ac:dyDescent="0.25">
      <c r="A32" s="5" t="s">
        <v>153</v>
      </c>
      <c r="B32" s="3">
        <v>4</v>
      </c>
    </row>
    <row r="33" spans="1:2" x14ac:dyDescent="0.25">
      <c r="A33" s="5" t="s">
        <v>94</v>
      </c>
      <c r="B33" s="3">
        <v>5</v>
      </c>
    </row>
    <row r="34" spans="1:2" x14ac:dyDescent="0.25">
      <c r="A34" s="5" t="s">
        <v>547</v>
      </c>
      <c r="B34" s="3">
        <v>5</v>
      </c>
    </row>
    <row r="35" spans="1:2" x14ac:dyDescent="0.25">
      <c r="A35" s="5" t="s">
        <v>346</v>
      </c>
      <c r="B35" s="3">
        <v>5</v>
      </c>
    </row>
    <row r="36" spans="1:2" x14ac:dyDescent="0.25">
      <c r="A36" s="5" t="s">
        <v>28</v>
      </c>
      <c r="B36" s="3">
        <v>5</v>
      </c>
    </row>
    <row r="37" spans="1:2" x14ac:dyDescent="0.25">
      <c r="A37" s="5" t="s">
        <v>285</v>
      </c>
      <c r="B37" s="3">
        <v>6</v>
      </c>
    </row>
    <row r="38" spans="1:2" x14ac:dyDescent="0.25">
      <c r="A38" s="5" t="s">
        <v>134</v>
      </c>
      <c r="B38" s="3">
        <v>6</v>
      </c>
    </row>
    <row r="39" spans="1:2" x14ac:dyDescent="0.25">
      <c r="A39" s="5" t="s">
        <v>149</v>
      </c>
      <c r="B39" s="3">
        <v>7</v>
      </c>
    </row>
    <row r="40" spans="1:2" x14ac:dyDescent="0.25">
      <c r="A40" s="5" t="s">
        <v>161</v>
      </c>
      <c r="B40" s="3">
        <v>7</v>
      </c>
    </row>
    <row r="41" spans="1:2" x14ac:dyDescent="0.25">
      <c r="A41" s="5" t="s">
        <v>57</v>
      </c>
      <c r="B41" s="3">
        <v>9</v>
      </c>
    </row>
    <row r="42" spans="1:2" x14ac:dyDescent="0.25">
      <c r="A42" s="5" t="s">
        <v>211</v>
      </c>
      <c r="B42" s="3">
        <v>9</v>
      </c>
    </row>
    <row r="43" spans="1:2" x14ac:dyDescent="0.25">
      <c r="A43" s="5" t="s">
        <v>84</v>
      </c>
      <c r="B43" s="3">
        <v>10</v>
      </c>
    </row>
    <row r="44" spans="1:2" x14ac:dyDescent="0.25">
      <c r="A44" s="5" t="s">
        <v>486</v>
      </c>
      <c r="B44" s="3">
        <v>10</v>
      </c>
    </row>
    <row r="45" spans="1:2" x14ac:dyDescent="0.25">
      <c r="A45" s="5" t="s">
        <v>10</v>
      </c>
      <c r="B45" s="3">
        <v>13</v>
      </c>
    </row>
    <row r="46" spans="1:2" x14ac:dyDescent="0.25">
      <c r="A46" s="5" t="s">
        <v>76</v>
      </c>
      <c r="B46" s="3">
        <v>13</v>
      </c>
    </row>
    <row r="47" spans="1:2" x14ac:dyDescent="0.25">
      <c r="A47" s="5" t="s">
        <v>248</v>
      </c>
      <c r="B47" s="3">
        <v>14</v>
      </c>
    </row>
    <row r="48" spans="1:2" x14ac:dyDescent="0.25">
      <c r="A48" s="5" t="s">
        <v>142</v>
      </c>
      <c r="B48" s="3">
        <v>15</v>
      </c>
    </row>
    <row r="49" spans="1:2" x14ac:dyDescent="0.25">
      <c r="A49" s="5" t="s">
        <v>39</v>
      </c>
      <c r="B49" s="3">
        <v>16</v>
      </c>
    </row>
    <row r="50" spans="1:2" x14ac:dyDescent="0.25">
      <c r="A50" s="5" t="s">
        <v>266</v>
      </c>
      <c r="B50" s="3">
        <v>18</v>
      </c>
    </row>
    <row r="51" spans="1:2" x14ac:dyDescent="0.25">
      <c r="A51" s="5" t="s">
        <v>158</v>
      </c>
      <c r="B51" s="3">
        <v>21</v>
      </c>
    </row>
    <row r="52" spans="1:2" x14ac:dyDescent="0.25">
      <c r="A52" s="5" t="s">
        <v>36</v>
      </c>
      <c r="B52" s="3">
        <v>22</v>
      </c>
    </row>
    <row r="53" spans="1:2" x14ac:dyDescent="0.25">
      <c r="A53" s="5" t="s">
        <v>119</v>
      </c>
      <c r="B53" s="3">
        <v>24</v>
      </c>
    </row>
    <row r="54" spans="1:2" x14ac:dyDescent="0.25">
      <c r="A54" s="5" t="s">
        <v>286</v>
      </c>
      <c r="B54" s="3">
        <v>24</v>
      </c>
    </row>
    <row r="55" spans="1:2" x14ac:dyDescent="0.25">
      <c r="A55" s="5" t="s">
        <v>173</v>
      </c>
      <c r="B55" s="3">
        <v>25</v>
      </c>
    </row>
    <row r="56" spans="1:2" x14ac:dyDescent="0.25">
      <c r="A56" s="5" t="s">
        <v>187</v>
      </c>
      <c r="B56" s="3">
        <v>32</v>
      </c>
    </row>
    <row r="57" spans="1:2" x14ac:dyDescent="0.25">
      <c r="A57" s="5" t="s">
        <v>26</v>
      </c>
      <c r="B57" s="3">
        <v>35</v>
      </c>
    </row>
    <row r="58" spans="1:2" x14ac:dyDescent="0.25">
      <c r="A58" s="5" t="s">
        <v>59</v>
      </c>
      <c r="B58" s="3">
        <v>39</v>
      </c>
    </row>
    <row r="59" spans="1:2" x14ac:dyDescent="0.25">
      <c r="A59" s="5" t="s">
        <v>61</v>
      </c>
      <c r="B59" s="3">
        <v>50</v>
      </c>
    </row>
    <row r="60" spans="1:2" x14ac:dyDescent="0.25">
      <c r="A60" s="5" t="s">
        <v>87</v>
      </c>
      <c r="B60" s="3">
        <v>53</v>
      </c>
    </row>
    <row r="61" spans="1:2" x14ac:dyDescent="0.25">
      <c r="A61" s="5" t="s">
        <v>35</v>
      </c>
      <c r="B61" s="3">
        <v>54</v>
      </c>
    </row>
    <row r="62" spans="1:2" x14ac:dyDescent="0.25">
      <c r="A62" s="5" t="s">
        <v>70</v>
      </c>
      <c r="B62" s="3">
        <v>62</v>
      </c>
    </row>
    <row r="63" spans="1:2" x14ac:dyDescent="0.25">
      <c r="A63" s="5" t="s">
        <v>18</v>
      </c>
      <c r="B63" s="3">
        <v>65</v>
      </c>
    </row>
    <row r="64" spans="1:2" x14ac:dyDescent="0.25">
      <c r="A64" s="5" t="s">
        <v>14</v>
      </c>
      <c r="B64" s="3">
        <v>67</v>
      </c>
    </row>
    <row r="65" spans="1:2" x14ac:dyDescent="0.25">
      <c r="A65" s="5" t="s">
        <v>22</v>
      </c>
      <c r="B65" s="3">
        <v>105</v>
      </c>
    </row>
    <row r="66" spans="1:2" x14ac:dyDescent="0.25">
      <c r="A66" s="5" t="s">
        <v>32</v>
      </c>
      <c r="B66" s="3">
        <v>123</v>
      </c>
    </row>
    <row r="67" spans="1:2" x14ac:dyDescent="0.25">
      <c r="A67" s="5" t="s">
        <v>993</v>
      </c>
      <c r="B67" s="3">
        <v>1045</v>
      </c>
    </row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ht="13.9" customHeight="1" x14ac:dyDescent="0.25"/>
    <row r="93" x14ac:dyDescent="0.25"/>
    <row r="94" x14ac:dyDescent="0.25"/>
    <row r="95" x14ac:dyDescent="0.25"/>
    <row r="96" x14ac:dyDescent="0.25"/>
    <row r="97" x14ac:dyDescent="0.25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F919-5958-4368-B67E-17FDC7664322}">
  <dimension ref="A1:N23"/>
  <sheetViews>
    <sheetView showGridLines="0" zoomScaleNormal="100" workbookViewId="0">
      <selection activeCell="O1" sqref="O1:XFD1048576"/>
    </sheetView>
  </sheetViews>
  <sheetFormatPr defaultColWidth="0" defaultRowHeight="15" zeroHeight="1" x14ac:dyDescent="0.25"/>
  <cols>
    <col min="1" max="1" width="10.140625" bestFit="1" customWidth="1"/>
    <col min="2" max="2" width="13.7109375" bestFit="1" customWidth="1"/>
    <col min="3" max="14" width="10.42578125" customWidth="1"/>
    <col min="15" max="16384" width="10.42578125" hidden="1"/>
  </cols>
  <sheetData>
    <row r="1" spans="1:2" x14ac:dyDescent="0.25">
      <c r="A1" s="4" t="s">
        <v>1000</v>
      </c>
      <c r="B1" t="s">
        <v>998</v>
      </c>
    </row>
    <row r="2" spans="1:2" x14ac:dyDescent="0.25">
      <c r="A2" s="5" t="s">
        <v>78</v>
      </c>
      <c r="B2" s="3">
        <v>83</v>
      </c>
    </row>
    <row r="3" spans="1:2" x14ac:dyDescent="0.25">
      <c r="A3" s="5" t="s">
        <v>40</v>
      </c>
      <c r="B3" s="3">
        <v>44</v>
      </c>
    </row>
    <row r="4" spans="1:2" x14ac:dyDescent="0.25">
      <c r="A4" s="5" t="s">
        <v>81</v>
      </c>
      <c r="B4" s="3">
        <v>60</v>
      </c>
    </row>
    <row r="5" spans="1:2" x14ac:dyDescent="0.25">
      <c r="A5" s="5" t="s">
        <v>47</v>
      </c>
      <c r="B5" s="3">
        <v>86</v>
      </c>
    </row>
    <row r="6" spans="1:2" x14ac:dyDescent="0.25">
      <c r="A6" s="5" t="s">
        <v>104</v>
      </c>
      <c r="B6" s="3">
        <v>35</v>
      </c>
    </row>
    <row r="7" spans="1:2" x14ac:dyDescent="0.25">
      <c r="A7" s="5" t="s">
        <v>15</v>
      </c>
      <c r="B7" s="3">
        <v>39</v>
      </c>
    </row>
    <row r="8" spans="1:2" x14ac:dyDescent="0.25">
      <c r="A8" s="5" t="s">
        <v>71</v>
      </c>
      <c r="B8" s="3">
        <v>125</v>
      </c>
    </row>
    <row r="9" spans="1:2" x14ac:dyDescent="0.25">
      <c r="A9" s="5" t="s">
        <v>52</v>
      </c>
      <c r="B9" s="3">
        <v>41</v>
      </c>
    </row>
    <row r="10" spans="1:2" x14ac:dyDescent="0.25">
      <c r="A10" s="5" t="s">
        <v>43</v>
      </c>
      <c r="B10" s="3">
        <v>64</v>
      </c>
    </row>
    <row r="11" spans="1:2" x14ac:dyDescent="0.25">
      <c r="A11" s="5" t="s">
        <v>130</v>
      </c>
      <c r="B11" s="3">
        <v>38</v>
      </c>
    </row>
    <row r="12" spans="1:2" x14ac:dyDescent="0.25">
      <c r="A12" s="5" t="s">
        <v>67</v>
      </c>
      <c r="B12" s="3">
        <v>91</v>
      </c>
    </row>
    <row r="13" spans="1:2" x14ac:dyDescent="0.25">
      <c r="A13" s="5" t="s">
        <v>145</v>
      </c>
      <c r="B13" s="3">
        <v>53</v>
      </c>
    </row>
    <row r="14" spans="1:2" x14ac:dyDescent="0.25">
      <c r="A14" s="5" t="s">
        <v>19</v>
      </c>
      <c r="B14" s="3">
        <v>31</v>
      </c>
    </row>
    <row r="15" spans="1:2" x14ac:dyDescent="0.25">
      <c r="A15" s="5" t="s">
        <v>23</v>
      </c>
      <c r="B15" s="3">
        <v>62</v>
      </c>
    </row>
    <row r="16" spans="1:2" x14ac:dyDescent="0.25">
      <c r="A16" s="5" t="s">
        <v>11</v>
      </c>
      <c r="B16" s="3">
        <v>60</v>
      </c>
    </row>
    <row r="17" spans="1:2" x14ac:dyDescent="0.25">
      <c r="A17" s="5" t="s">
        <v>29</v>
      </c>
      <c r="B17" s="3">
        <v>44</v>
      </c>
    </row>
    <row r="18" spans="1:2" x14ac:dyDescent="0.25">
      <c r="A18" s="5" t="s">
        <v>95</v>
      </c>
      <c r="B18" s="3">
        <v>52</v>
      </c>
    </row>
    <row r="19" spans="1:2" x14ac:dyDescent="0.25">
      <c r="A19" s="5" t="s">
        <v>64</v>
      </c>
      <c r="B19" s="3">
        <v>37</v>
      </c>
    </row>
    <row r="20" spans="1:2" x14ac:dyDescent="0.25">
      <c r="A20" s="5" t="s">
        <v>993</v>
      </c>
      <c r="B20" s="3">
        <v>1045</v>
      </c>
    </row>
    <row r="21" spans="1:2" x14ac:dyDescent="0.25"/>
    <row r="22" spans="1:2" x14ac:dyDescent="0.25"/>
    <row r="23" spans="1:2" x14ac:dyDescent="0.25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D932-5DCF-4BF4-A4A7-F78F63485E51}">
  <dimension ref="A1:Q134"/>
  <sheetViews>
    <sheetView showGridLines="0" zoomScaleNormal="100" zoomScalePageLayoutView="70" workbookViewId="0">
      <selection activeCell="G95" sqref="G95"/>
    </sheetView>
  </sheetViews>
  <sheetFormatPr defaultColWidth="0" defaultRowHeight="15" zeroHeight="1" x14ac:dyDescent="0.25"/>
  <cols>
    <col min="1" max="1" width="17.42578125" bestFit="1" customWidth="1"/>
    <col min="2" max="2" width="15.140625" bestFit="1" customWidth="1"/>
    <col min="3" max="3" width="16" bestFit="1" customWidth="1"/>
    <col min="4" max="4" width="19.42578125" bestFit="1" customWidth="1"/>
    <col min="5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  <col min="10" max="17" width="16.42578125" customWidth="1"/>
    <col min="18" max="16384" width="16.42578125" hidden="1"/>
  </cols>
  <sheetData>
    <row r="1" spans="1:9" ht="24" thickBot="1" x14ac:dyDescent="0.4">
      <c r="A1" s="15" t="s">
        <v>1027</v>
      </c>
      <c r="B1" s="15"/>
    </row>
    <row r="2" spans="1:9" x14ac:dyDescent="0.25">
      <c r="A2" s="10" t="s">
        <v>1004</v>
      </c>
      <c r="B2" s="10"/>
    </row>
    <row r="3" spans="1:9" x14ac:dyDescent="0.25">
      <c r="A3" s="7" t="s">
        <v>1005</v>
      </c>
      <c r="B3" s="7">
        <v>0.93783289235196932</v>
      </c>
    </row>
    <row r="4" spans="1:9" x14ac:dyDescent="0.25">
      <c r="A4" s="7" t="s">
        <v>1006</v>
      </c>
      <c r="B4" s="7">
        <v>0.87953053397726</v>
      </c>
    </row>
    <row r="5" spans="1:9" x14ac:dyDescent="0.25">
      <c r="A5" s="7" t="s">
        <v>1007</v>
      </c>
      <c r="B5" s="7">
        <v>0.87244409479945229</v>
      </c>
    </row>
    <row r="6" spans="1:9" x14ac:dyDescent="0.25">
      <c r="A6" s="7" t="s">
        <v>1008</v>
      </c>
      <c r="B6" s="7">
        <v>15.454034203744095</v>
      </c>
    </row>
    <row r="7" spans="1:9" ht="15.75" thickBot="1" x14ac:dyDescent="0.3">
      <c r="A7" s="8" t="s">
        <v>1009</v>
      </c>
      <c r="B7" s="8">
        <v>19</v>
      </c>
    </row>
    <row r="8" spans="1:9" x14ac:dyDescent="0.25"/>
    <row r="9" spans="1:9" ht="15.75" thickBot="1" x14ac:dyDescent="0.3"/>
    <row r="10" spans="1:9" x14ac:dyDescent="0.25">
      <c r="A10" s="9"/>
      <c r="B10" s="9" t="s">
        <v>1019</v>
      </c>
      <c r="C10" s="9" t="s">
        <v>1008</v>
      </c>
      <c r="D10" s="9" t="s">
        <v>1020</v>
      </c>
      <c r="E10" s="9" t="s">
        <v>1021</v>
      </c>
      <c r="F10" s="9" t="s">
        <v>1022</v>
      </c>
      <c r="G10" s="9" t="s">
        <v>1023</v>
      </c>
      <c r="H10" s="9" t="s">
        <v>1024</v>
      </c>
      <c r="I10" s="9" t="s">
        <v>1025</v>
      </c>
    </row>
    <row r="11" spans="1:9" x14ac:dyDescent="0.25">
      <c r="A11" s="7" t="s">
        <v>1014</v>
      </c>
      <c r="B11" s="7">
        <v>21.91415014645159</v>
      </c>
      <c r="C11" s="7">
        <v>8.1767407047982186</v>
      </c>
      <c r="D11" s="7">
        <v>2.6800593216306932</v>
      </c>
      <c r="E11" s="7">
        <v>1.5819467589759547E-2</v>
      </c>
      <c r="F11" s="7">
        <v>4.6627352315645325</v>
      </c>
      <c r="G11" s="7">
        <v>39.165565061338647</v>
      </c>
      <c r="H11" s="7">
        <v>4.6627352315645325</v>
      </c>
      <c r="I11" s="7">
        <v>39.165565061338647</v>
      </c>
    </row>
    <row r="12" spans="1:9" ht="15.75" thickBot="1" x14ac:dyDescent="0.3">
      <c r="A12" s="8" t="s">
        <v>1026</v>
      </c>
      <c r="B12" s="8">
        <v>1.4910431617757358</v>
      </c>
      <c r="C12" s="8">
        <v>0.13383779925402076</v>
      </c>
      <c r="D12" s="8">
        <v>11.14067303920452</v>
      </c>
      <c r="E12" s="8">
        <v>3.1087033568037335E-9</v>
      </c>
      <c r="F12" s="8">
        <v>1.2086700880066745</v>
      </c>
      <c r="G12" s="8">
        <v>1.7734162355447971</v>
      </c>
      <c r="H12" s="8">
        <v>1.2086700880066745</v>
      </c>
      <c r="I12" s="8">
        <v>1.7734162355447971</v>
      </c>
    </row>
    <row r="13" spans="1:9" s="12" customFormat="1" x14ac:dyDescent="0.25"/>
    <row r="14" spans="1:9" ht="23.25" x14ac:dyDescent="0.35">
      <c r="A14" s="13" t="s">
        <v>1028</v>
      </c>
      <c r="B14" s="14"/>
      <c r="C14" s="14"/>
    </row>
    <row r="15" spans="1:9" x14ac:dyDescent="0.25">
      <c r="A15" t="s">
        <v>1001</v>
      </c>
      <c r="B15" t="s">
        <v>1002</v>
      </c>
      <c r="C15" t="s">
        <v>1003</v>
      </c>
    </row>
    <row r="16" spans="1:9" x14ac:dyDescent="0.25">
      <c r="A16" s="5" t="s">
        <v>78</v>
      </c>
      <c r="B16">
        <v>83</v>
      </c>
      <c r="C16">
        <v>158</v>
      </c>
    </row>
    <row r="17" spans="1:3" x14ac:dyDescent="0.25">
      <c r="A17" s="5" t="s">
        <v>64</v>
      </c>
      <c r="B17">
        <v>37</v>
      </c>
      <c r="C17">
        <v>86</v>
      </c>
    </row>
    <row r="18" spans="1:3" x14ac:dyDescent="0.25">
      <c r="A18" s="5" t="s">
        <v>43</v>
      </c>
      <c r="B18">
        <v>64</v>
      </c>
      <c r="C18">
        <v>131</v>
      </c>
    </row>
    <row r="19" spans="1:3" x14ac:dyDescent="0.25">
      <c r="A19" s="5" t="s">
        <v>81</v>
      </c>
      <c r="B19">
        <v>60</v>
      </c>
      <c r="C19">
        <v>121</v>
      </c>
    </row>
    <row r="20" spans="1:3" x14ac:dyDescent="0.25">
      <c r="A20" s="5" t="s">
        <v>19</v>
      </c>
      <c r="B20">
        <v>31</v>
      </c>
      <c r="C20">
        <v>72</v>
      </c>
    </row>
    <row r="21" spans="1:3" x14ac:dyDescent="0.25">
      <c r="A21" s="5" t="s">
        <v>95</v>
      </c>
      <c r="B21">
        <v>52</v>
      </c>
      <c r="C21">
        <v>96</v>
      </c>
    </row>
    <row r="22" spans="1:3" x14ac:dyDescent="0.25">
      <c r="A22" s="5" t="s">
        <v>11</v>
      </c>
      <c r="B22">
        <v>60</v>
      </c>
      <c r="C22">
        <v>124</v>
      </c>
    </row>
    <row r="23" spans="1:3" x14ac:dyDescent="0.25">
      <c r="A23" s="5" t="s">
        <v>29</v>
      </c>
      <c r="B23">
        <v>44</v>
      </c>
      <c r="C23">
        <v>82</v>
      </c>
    </row>
    <row r="24" spans="1:3" x14ac:dyDescent="0.25">
      <c r="A24" s="5" t="s">
        <v>52</v>
      </c>
      <c r="B24">
        <v>41</v>
      </c>
      <c r="C24">
        <v>77</v>
      </c>
    </row>
    <row r="25" spans="1:3" x14ac:dyDescent="0.25">
      <c r="A25" s="5" t="s">
        <v>23</v>
      </c>
      <c r="B25">
        <v>62</v>
      </c>
      <c r="C25">
        <v>120</v>
      </c>
    </row>
    <row r="26" spans="1:3" x14ac:dyDescent="0.25">
      <c r="A26" s="5" t="s">
        <v>130</v>
      </c>
      <c r="B26">
        <v>38</v>
      </c>
      <c r="C26">
        <v>72</v>
      </c>
    </row>
    <row r="27" spans="1:3" x14ac:dyDescent="0.25">
      <c r="A27" s="5" t="s">
        <v>40</v>
      </c>
      <c r="B27">
        <v>44</v>
      </c>
      <c r="C27">
        <v>76</v>
      </c>
    </row>
    <row r="28" spans="1:3" x14ac:dyDescent="0.25">
      <c r="A28" s="5" t="s">
        <v>67</v>
      </c>
      <c r="B28">
        <v>91</v>
      </c>
      <c r="C28">
        <v>176</v>
      </c>
    </row>
    <row r="29" spans="1:3" x14ac:dyDescent="0.25">
      <c r="A29" s="5" t="s">
        <v>145</v>
      </c>
      <c r="B29">
        <v>53</v>
      </c>
      <c r="C29">
        <v>117</v>
      </c>
    </row>
    <row r="30" spans="1:3" x14ac:dyDescent="0.25">
      <c r="A30" s="5" t="s">
        <v>104</v>
      </c>
      <c r="B30">
        <v>35</v>
      </c>
      <c r="C30">
        <v>68</v>
      </c>
    </row>
    <row r="31" spans="1:3" x14ac:dyDescent="0.25">
      <c r="A31" s="5" t="s">
        <v>15</v>
      </c>
      <c r="B31">
        <v>39</v>
      </c>
      <c r="C31">
        <v>76</v>
      </c>
    </row>
    <row r="32" spans="1:3" x14ac:dyDescent="0.25">
      <c r="A32" s="5" t="s">
        <v>47</v>
      </c>
      <c r="B32">
        <v>86</v>
      </c>
      <c r="C32">
        <v>158</v>
      </c>
    </row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s="12" customFormat="1" x14ac:dyDescent="0.25"/>
    <row r="44" spans="1:2" ht="24" thickBot="1" x14ac:dyDescent="0.4">
      <c r="A44" s="15" t="s">
        <v>1033</v>
      </c>
      <c r="B44" s="15"/>
    </row>
    <row r="45" spans="1:2" x14ac:dyDescent="0.25">
      <c r="A45" s="10" t="s">
        <v>1004</v>
      </c>
      <c r="B45" s="10"/>
    </row>
    <row r="46" spans="1:2" x14ac:dyDescent="0.25">
      <c r="A46" s="7" t="s">
        <v>1005</v>
      </c>
      <c r="B46" s="7">
        <v>0.92207028666125701</v>
      </c>
    </row>
    <row r="47" spans="1:2" x14ac:dyDescent="0.25">
      <c r="A47" s="7" t="s">
        <v>1006</v>
      </c>
      <c r="B47" s="7">
        <v>0.85021361354357261</v>
      </c>
    </row>
    <row r="48" spans="1:2" x14ac:dyDescent="0.25">
      <c r="A48" s="7" t="s">
        <v>1007</v>
      </c>
      <c r="B48" s="7">
        <v>0.84085196439004595</v>
      </c>
    </row>
    <row r="49" spans="1:9" x14ac:dyDescent="0.25">
      <c r="A49" s="7" t="s">
        <v>1008</v>
      </c>
      <c r="B49" s="7">
        <v>14.514506946831764</v>
      </c>
    </row>
    <row r="50" spans="1:9" ht="15.75" thickBot="1" x14ac:dyDescent="0.3">
      <c r="A50" s="8" t="s">
        <v>1009</v>
      </c>
      <c r="B50" s="8">
        <v>18</v>
      </c>
    </row>
    <row r="51" spans="1:9" x14ac:dyDescent="0.25"/>
    <row r="52" spans="1:9" ht="15.75" thickBot="1" x14ac:dyDescent="0.3">
      <c r="A52" t="s">
        <v>1010</v>
      </c>
    </row>
    <row r="53" spans="1:9" x14ac:dyDescent="0.25">
      <c r="A53" s="9"/>
      <c r="B53" s="9" t="s">
        <v>1015</v>
      </c>
      <c r="C53" s="9" t="s">
        <v>1016</v>
      </c>
      <c r="D53" s="9" t="s">
        <v>1017</v>
      </c>
      <c r="E53" s="9" t="s">
        <v>104</v>
      </c>
      <c r="F53" s="9" t="s">
        <v>1018</v>
      </c>
    </row>
    <row r="54" spans="1:9" x14ac:dyDescent="0.25">
      <c r="A54" s="7" t="s">
        <v>1011</v>
      </c>
      <c r="B54" s="7">
        <v>1</v>
      </c>
      <c r="C54" s="7">
        <v>19132.876520557074</v>
      </c>
      <c r="D54" s="7">
        <v>19132.876520557074</v>
      </c>
      <c r="E54" s="7">
        <v>90.818786263025203</v>
      </c>
      <c r="F54" s="7">
        <v>5.345038606286696E-8</v>
      </c>
    </row>
    <row r="55" spans="1:9" x14ac:dyDescent="0.25">
      <c r="A55" s="7" t="s">
        <v>1012</v>
      </c>
      <c r="B55" s="7">
        <v>16</v>
      </c>
      <c r="C55" s="7">
        <v>3370.7345905540406</v>
      </c>
      <c r="D55" s="7">
        <v>210.67091190962753</v>
      </c>
      <c r="E55" s="7"/>
      <c r="F55" s="7"/>
    </row>
    <row r="56" spans="1:9" ht="15.75" thickBot="1" x14ac:dyDescent="0.3">
      <c r="A56" s="8" t="s">
        <v>1013</v>
      </c>
      <c r="B56" s="8">
        <v>17</v>
      </c>
      <c r="C56" s="8">
        <v>22503.611111111117</v>
      </c>
      <c r="D56" s="8"/>
      <c r="E56" s="8"/>
      <c r="F56" s="8"/>
    </row>
    <row r="57" spans="1:9" ht="15.75" thickBot="1" x14ac:dyDescent="0.3"/>
    <row r="58" spans="1:9" x14ac:dyDescent="0.25">
      <c r="A58" s="9"/>
      <c r="B58" s="9" t="s">
        <v>1019</v>
      </c>
      <c r="C58" s="9" t="s">
        <v>1008</v>
      </c>
      <c r="D58" s="9" t="s">
        <v>1020</v>
      </c>
      <c r="E58" s="9" t="s">
        <v>1021</v>
      </c>
      <c r="F58" s="9" t="s">
        <v>1022</v>
      </c>
      <c r="G58" s="9" t="s">
        <v>1023</v>
      </c>
      <c r="H58" s="9" t="s">
        <v>1024</v>
      </c>
      <c r="I58" s="9" t="s">
        <v>1025</v>
      </c>
    </row>
    <row r="59" spans="1:9" x14ac:dyDescent="0.25">
      <c r="A59" s="7" t="s">
        <v>1014</v>
      </c>
      <c r="B59" s="7">
        <v>30.400095402778618</v>
      </c>
      <c r="C59" s="7">
        <v>8.9991531580777444</v>
      </c>
      <c r="D59" s="7">
        <v>3.3781062360841299</v>
      </c>
      <c r="E59" s="7">
        <v>3.833200151512923E-3</v>
      </c>
      <c r="F59" s="7">
        <v>11.322742934465914</v>
      </c>
      <c r="G59" s="7">
        <v>49.477447871091321</v>
      </c>
      <c r="H59" s="7">
        <v>11.322742934465914</v>
      </c>
      <c r="I59" s="7">
        <v>49.477447871091321</v>
      </c>
    </row>
    <row r="60" spans="1:9" ht="15.75" thickBot="1" x14ac:dyDescent="0.3">
      <c r="A60" s="8" t="s">
        <v>1026</v>
      </c>
      <c r="B60" s="8">
        <v>1.3663141461722343</v>
      </c>
      <c r="C60" s="8">
        <v>0.14337146338215856</v>
      </c>
      <c r="D60" s="8">
        <v>9.5298891002479742</v>
      </c>
      <c r="E60" s="8">
        <v>5.3450386062867152E-8</v>
      </c>
      <c r="F60" s="8">
        <v>1.0623802211912903</v>
      </c>
      <c r="G60" s="8">
        <v>1.6702480711531784</v>
      </c>
      <c r="H60" s="8">
        <v>1.0623802211912903</v>
      </c>
      <c r="I60" s="8">
        <v>1.6702480711531784</v>
      </c>
    </row>
    <row r="61" spans="1:9" x14ac:dyDescent="0.25"/>
    <row r="62" spans="1:9" x14ac:dyDescent="0.25"/>
    <row r="63" spans="1:9" x14ac:dyDescent="0.25"/>
    <row r="64" spans="1:9" x14ac:dyDescent="0.25">
      <c r="A64" t="s">
        <v>1029</v>
      </c>
    </row>
    <row r="65" spans="1:3" ht="15.75" thickBot="1" x14ac:dyDescent="0.3"/>
    <row r="66" spans="1:3" x14ac:dyDescent="0.25">
      <c r="A66" s="9" t="s">
        <v>1030</v>
      </c>
      <c r="B66" s="9" t="s">
        <v>1031</v>
      </c>
      <c r="C66" s="9" t="s">
        <v>1032</v>
      </c>
    </row>
    <row r="67" spans="1:3" x14ac:dyDescent="0.25">
      <c r="A67" s="7">
        <v>1</v>
      </c>
      <c r="B67" s="7">
        <v>143.80416953507407</v>
      </c>
      <c r="C67" s="7">
        <v>14.195830464925933</v>
      </c>
    </row>
    <row r="68" spans="1:3" x14ac:dyDescent="0.25">
      <c r="A68" s="7">
        <v>2</v>
      </c>
      <c r="B68" s="7">
        <v>201.18936367430791</v>
      </c>
      <c r="C68" s="7">
        <v>-36.189363674307913</v>
      </c>
    </row>
    <row r="69" spans="1:3" x14ac:dyDescent="0.25">
      <c r="A69" s="7">
        <v>3</v>
      </c>
      <c r="B69" s="7">
        <v>80.95371881115129</v>
      </c>
      <c r="C69" s="7">
        <v>5.0462811888487096</v>
      </c>
    </row>
    <row r="70" spans="1:3" x14ac:dyDescent="0.25">
      <c r="A70" s="7">
        <v>4</v>
      </c>
      <c r="B70" s="7">
        <v>117.84420075780162</v>
      </c>
      <c r="C70" s="7">
        <v>13.155799242198384</v>
      </c>
    </row>
    <row r="71" spans="1:3" x14ac:dyDescent="0.25">
      <c r="A71" s="7">
        <v>5</v>
      </c>
      <c r="B71" s="7">
        <v>112.37894417311267</v>
      </c>
      <c r="C71" s="7">
        <v>8.6210558268873285</v>
      </c>
    </row>
    <row r="72" spans="1:3" x14ac:dyDescent="0.25">
      <c r="A72" s="7">
        <v>6</v>
      </c>
      <c r="B72" s="7">
        <v>72.755833934117874</v>
      </c>
      <c r="C72" s="7">
        <v>-0.7558339341178737</v>
      </c>
    </row>
    <row r="73" spans="1:3" x14ac:dyDescent="0.25">
      <c r="A73" s="7">
        <v>7</v>
      </c>
      <c r="B73" s="7">
        <v>101.44843100373481</v>
      </c>
      <c r="C73" s="7">
        <v>-5.4484310037348109</v>
      </c>
    </row>
    <row r="74" spans="1:3" x14ac:dyDescent="0.25">
      <c r="A74" s="7">
        <v>8</v>
      </c>
      <c r="B74" s="7">
        <v>112.37894417311267</v>
      </c>
      <c r="C74" s="7">
        <v>11.621055826887329</v>
      </c>
    </row>
    <row r="75" spans="1:3" x14ac:dyDescent="0.25">
      <c r="A75" s="7">
        <v>9</v>
      </c>
      <c r="B75" s="7">
        <v>90.517917834356922</v>
      </c>
      <c r="C75" s="7">
        <v>-8.517917834356922</v>
      </c>
    </row>
    <row r="76" spans="1:3" x14ac:dyDescent="0.25">
      <c r="A76" s="7">
        <v>10</v>
      </c>
      <c r="B76" s="7">
        <v>86.418975395840221</v>
      </c>
      <c r="C76" s="7">
        <v>-9.4189753958402207</v>
      </c>
    </row>
    <row r="77" spans="1:3" x14ac:dyDescent="0.25">
      <c r="A77" s="7">
        <v>11</v>
      </c>
      <c r="B77" s="7">
        <v>115.11157246545714</v>
      </c>
      <c r="C77" s="7">
        <v>4.8884275345428563</v>
      </c>
    </row>
    <row r="78" spans="1:3" x14ac:dyDescent="0.25">
      <c r="A78" s="7">
        <v>12</v>
      </c>
      <c r="B78" s="7">
        <v>82.320032957323519</v>
      </c>
      <c r="C78" s="7">
        <v>-10.320032957323519</v>
      </c>
    </row>
    <row r="79" spans="1:3" x14ac:dyDescent="0.25">
      <c r="A79" s="7">
        <v>13</v>
      </c>
      <c r="B79" s="7">
        <v>90.517917834356922</v>
      </c>
      <c r="C79" s="7">
        <v>-14.517917834356922</v>
      </c>
    </row>
    <row r="80" spans="1:3" x14ac:dyDescent="0.25">
      <c r="A80" s="7">
        <v>14</v>
      </c>
      <c r="B80" s="7">
        <v>154.73468270445193</v>
      </c>
      <c r="C80" s="7">
        <v>21.265317295548073</v>
      </c>
    </row>
    <row r="81" spans="1:4" x14ac:dyDescent="0.25">
      <c r="A81" s="7">
        <v>15</v>
      </c>
      <c r="B81" s="7">
        <v>102.81474514990704</v>
      </c>
      <c r="C81" s="7">
        <v>14.18525485009296</v>
      </c>
    </row>
    <row r="82" spans="1:4" x14ac:dyDescent="0.25">
      <c r="A82" s="7">
        <v>16</v>
      </c>
      <c r="B82" s="7">
        <v>78.221090518806818</v>
      </c>
      <c r="C82" s="7">
        <v>-10.221090518806818</v>
      </c>
    </row>
    <row r="83" spans="1:4" x14ac:dyDescent="0.25">
      <c r="A83" s="7">
        <v>17</v>
      </c>
      <c r="B83" s="7">
        <v>83.686347103495763</v>
      </c>
      <c r="C83" s="7">
        <v>-7.6863471034957627</v>
      </c>
    </row>
    <row r="84" spans="1:4" ht="15.75" thickBot="1" x14ac:dyDescent="0.3">
      <c r="A84" s="8">
        <v>18</v>
      </c>
      <c r="B84" s="8">
        <v>147.90311197359077</v>
      </c>
      <c r="C84" s="8">
        <v>10.096888026409232</v>
      </c>
    </row>
    <row r="85" spans="1:4" s="12" customFormat="1" x14ac:dyDescent="0.25"/>
    <row r="86" spans="1:4" ht="23.25" x14ac:dyDescent="0.35">
      <c r="A86" s="13" t="s">
        <v>1034</v>
      </c>
      <c r="B86" s="14"/>
      <c r="C86" s="14"/>
    </row>
    <row r="87" spans="1:4" x14ac:dyDescent="0.25">
      <c r="A87" t="s">
        <v>1001</v>
      </c>
      <c r="B87" t="s">
        <v>1002</v>
      </c>
      <c r="C87" t="s">
        <v>1003</v>
      </c>
      <c r="D87" t="s">
        <v>1035</v>
      </c>
    </row>
    <row r="88" spans="1:4" x14ac:dyDescent="0.25">
      <c r="A88" s="5" t="s">
        <v>78</v>
      </c>
      <c r="B88">
        <v>83</v>
      </c>
      <c r="C88">
        <v>158</v>
      </c>
      <c r="D88">
        <f>C88/B88</f>
        <v>1.9036144578313252</v>
      </c>
    </row>
    <row r="89" spans="1:4" x14ac:dyDescent="0.25">
      <c r="A89" s="5" t="s">
        <v>64</v>
      </c>
      <c r="B89">
        <v>37</v>
      </c>
      <c r="C89">
        <v>86</v>
      </c>
      <c r="D89">
        <f t="shared" ref="D89:D106" si="0">C89/B89</f>
        <v>2.3243243243243241</v>
      </c>
    </row>
    <row r="90" spans="1:4" x14ac:dyDescent="0.25">
      <c r="A90" s="5" t="s">
        <v>43</v>
      </c>
      <c r="B90">
        <v>64</v>
      </c>
      <c r="C90">
        <v>131</v>
      </c>
      <c r="D90">
        <f t="shared" si="0"/>
        <v>2.046875</v>
      </c>
    </row>
    <row r="91" spans="1:4" x14ac:dyDescent="0.25">
      <c r="A91" s="5" t="s">
        <v>81</v>
      </c>
      <c r="B91">
        <v>60</v>
      </c>
      <c r="C91">
        <v>121</v>
      </c>
      <c r="D91">
        <f t="shared" si="0"/>
        <v>2.0166666666666666</v>
      </c>
    </row>
    <row r="92" spans="1:4" x14ac:dyDescent="0.25">
      <c r="A92" s="5" t="s">
        <v>19</v>
      </c>
      <c r="B92">
        <v>31</v>
      </c>
      <c r="C92">
        <v>72</v>
      </c>
      <c r="D92">
        <f t="shared" si="0"/>
        <v>2.3225806451612905</v>
      </c>
    </row>
    <row r="93" spans="1:4" x14ac:dyDescent="0.25">
      <c r="A93" s="5" t="s">
        <v>95</v>
      </c>
      <c r="B93">
        <v>52</v>
      </c>
      <c r="C93">
        <v>96</v>
      </c>
      <c r="D93">
        <f t="shared" si="0"/>
        <v>1.8461538461538463</v>
      </c>
    </row>
    <row r="94" spans="1:4" x14ac:dyDescent="0.25">
      <c r="A94" s="5" t="s">
        <v>11</v>
      </c>
      <c r="B94">
        <v>60</v>
      </c>
      <c r="C94">
        <v>124</v>
      </c>
      <c r="D94">
        <f t="shared" si="0"/>
        <v>2.0666666666666669</v>
      </c>
    </row>
    <row r="95" spans="1:4" x14ac:dyDescent="0.25">
      <c r="A95" s="5" t="s">
        <v>29</v>
      </c>
      <c r="B95">
        <v>44</v>
      </c>
      <c r="C95">
        <v>82</v>
      </c>
      <c r="D95">
        <f t="shared" si="0"/>
        <v>1.8636363636363635</v>
      </c>
    </row>
    <row r="96" spans="1:4" x14ac:dyDescent="0.25">
      <c r="A96" s="5" t="s">
        <v>52</v>
      </c>
      <c r="B96">
        <v>41</v>
      </c>
      <c r="C96">
        <v>77</v>
      </c>
      <c r="D96">
        <f t="shared" si="0"/>
        <v>1.8780487804878048</v>
      </c>
    </row>
    <row r="97" spans="1:4" x14ac:dyDescent="0.25">
      <c r="A97" s="5" t="s">
        <v>23</v>
      </c>
      <c r="B97">
        <v>62</v>
      </c>
      <c r="C97">
        <v>120</v>
      </c>
      <c r="D97">
        <f t="shared" si="0"/>
        <v>1.935483870967742</v>
      </c>
    </row>
    <row r="98" spans="1:4" x14ac:dyDescent="0.25">
      <c r="A98" s="5" t="s">
        <v>130</v>
      </c>
      <c r="B98">
        <v>38</v>
      </c>
      <c r="C98">
        <v>72</v>
      </c>
      <c r="D98">
        <f t="shared" si="0"/>
        <v>1.8947368421052631</v>
      </c>
    </row>
    <row r="99" spans="1:4" x14ac:dyDescent="0.25">
      <c r="A99" s="5" t="s">
        <v>40</v>
      </c>
      <c r="B99">
        <v>44</v>
      </c>
      <c r="C99">
        <v>76</v>
      </c>
      <c r="D99">
        <f t="shared" si="0"/>
        <v>1.7272727272727273</v>
      </c>
    </row>
    <row r="100" spans="1:4" x14ac:dyDescent="0.25">
      <c r="A100" s="5" t="s">
        <v>67</v>
      </c>
      <c r="B100">
        <v>91</v>
      </c>
      <c r="C100">
        <v>176</v>
      </c>
      <c r="D100">
        <f t="shared" si="0"/>
        <v>1.9340659340659341</v>
      </c>
    </row>
    <row r="101" spans="1:4" x14ac:dyDescent="0.25">
      <c r="A101" s="5" t="s">
        <v>145</v>
      </c>
      <c r="B101">
        <v>53</v>
      </c>
      <c r="C101">
        <v>117</v>
      </c>
      <c r="D101">
        <f t="shared" si="0"/>
        <v>2.2075471698113209</v>
      </c>
    </row>
    <row r="102" spans="1:4" x14ac:dyDescent="0.25">
      <c r="A102" s="5" t="s">
        <v>104</v>
      </c>
      <c r="B102">
        <v>35</v>
      </c>
      <c r="C102">
        <v>68</v>
      </c>
      <c r="D102">
        <f t="shared" si="0"/>
        <v>1.9428571428571428</v>
      </c>
    </row>
    <row r="103" spans="1:4" x14ac:dyDescent="0.25">
      <c r="A103" s="5" t="s">
        <v>15</v>
      </c>
      <c r="B103">
        <v>39</v>
      </c>
      <c r="C103">
        <v>76</v>
      </c>
      <c r="D103">
        <f t="shared" si="0"/>
        <v>1.9487179487179487</v>
      </c>
    </row>
    <row r="104" spans="1:4" x14ac:dyDescent="0.25">
      <c r="A104" s="5" t="s">
        <v>47</v>
      </c>
      <c r="B104">
        <v>86</v>
      </c>
      <c r="C104">
        <v>158</v>
      </c>
      <c r="D104">
        <f t="shared" si="0"/>
        <v>1.8372093023255813</v>
      </c>
    </row>
    <row r="105" spans="1:4" x14ac:dyDescent="0.25">
      <c r="A105" s="11" t="s">
        <v>1036</v>
      </c>
      <c r="B105">
        <f>SUM(B88:B104)</f>
        <v>920</v>
      </c>
      <c r="C105">
        <f>SUM(C88:C104)</f>
        <v>1810</v>
      </c>
      <c r="D105">
        <f t="shared" si="0"/>
        <v>1.9673913043478262</v>
      </c>
    </row>
    <row r="106" spans="1:4" x14ac:dyDescent="0.25">
      <c r="A106" s="11" t="s">
        <v>1037</v>
      </c>
      <c r="B106">
        <f>(B105/18)</f>
        <v>51.111111111111114</v>
      </c>
      <c r="C106">
        <f>C105/18</f>
        <v>100.55555555555556</v>
      </c>
      <c r="D106">
        <f t="shared" si="0"/>
        <v>1.9673913043478259</v>
      </c>
    </row>
    <row r="107" spans="1:4" x14ac:dyDescent="0.25"/>
    <row r="108" spans="1:4" x14ac:dyDescent="0.25"/>
    <row r="109" spans="1:4" hidden="1" x14ac:dyDescent="0.25"/>
    <row r="110" spans="1:4" hidden="1" x14ac:dyDescent="0.25"/>
    <row r="111" spans="1:4" hidden="1" x14ac:dyDescent="0.25"/>
    <row r="112" spans="1:4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x14ac:dyDescent="0.25"/>
    <row r="134" x14ac:dyDescent="0.25"/>
  </sheetData>
  <mergeCells count="4">
    <mergeCell ref="A14:C14"/>
    <mergeCell ref="A1:B1"/>
    <mergeCell ref="A44:B44"/>
    <mergeCell ref="A86:C8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080-1D72-4C46-AF4D-36D6006873FD}">
  <dimension ref="A1:Q50"/>
  <sheetViews>
    <sheetView showGridLines="0" zoomScaleNormal="100" zoomScalePageLayoutView="70" workbookViewId="0">
      <selection sqref="A1:XFD1048576"/>
    </sheetView>
  </sheetViews>
  <sheetFormatPr defaultColWidth="0" defaultRowHeight="15" zeroHeight="1" x14ac:dyDescent="0.25"/>
  <cols>
    <col min="1" max="1" width="12" bestFit="1" customWidth="1"/>
    <col min="2" max="2" width="13.7109375" bestFit="1" customWidth="1"/>
    <col min="3" max="3" width="14.42578125" bestFit="1" customWidth="1"/>
    <col min="4" max="17" width="8.85546875" customWidth="1"/>
    <col min="18" max="16384" width="8.85546875" hidden="1"/>
  </cols>
  <sheetData>
    <row r="1" spans="1:3" x14ac:dyDescent="0.25">
      <c r="A1" s="2" t="s">
        <v>1001</v>
      </c>
      <c r="B1" s="2" t="s">
        <v>1002</v>
      </c>
      <c r="C1" s="2" t="s">
        <v>1003</v>
      </c>
    </row>
    <row r="2" spans="1:3" x14ac:dyDescent="0.25">
      <c r="A2" s="5" t="s">
        <v>78</v>
      </c>
      <c r="B2">
        <v>83</v>
      </c>
      <c r="C2">
        <v>158</v>
      </c>
    </row>
    <row r="3" spans="1:3" x14ac:dyDescent="0.25">
      <c r="A3" s="5" t="s">
        <v>71</v>
      </c>
      <c r="B3">
        <v>125</v>
      </c>
      <c r="C3">
        <v>165</v>
      </c>
    </row>
    <row r="4" spans="1:3" x14ac:dyDescent="0.25">
      <c r="A4" s="5" t="s">
        <v>64</v>
      </c>
      <c r="B4">
        <v>37</v>
      </c>
      <c r="C4">
        <v>86</v>
      </c>
    </row>
    <row r="5" spans="1:3" x14ac:dyDescent="0.25">
      <c r="A5" s="5" t="s">
        <v>43</v>
      </c>
      <c r="B5">
        <v>64</v>
      </c>
      <c r="C5">
        <v>131</v>
      </c>
    </row>
    <row r="6" spans="1:3" x14ac:dyDescent="0.25">
      <c r="A6" s="5" t="s">
        <v>81</v>
      </c>
      <c r="B6">
        <v>60</v>
      </c>
      <c r="C6">
        <v>121</v>
      </c>
    </row>
    <row r="7" spans="1:3" x14ac:dyDescent="0.25">
      <c r="A7" s="5" t="s">
        <v>19</v>
      </c>
      <c r="B7">
        <v>31</v>
      </c>
      <c r="C7">
        <v>72</v>
      </c>
    </row>
    <row r="8" spans="1:3" x14ac:dyDescent="0.25">
      <c r="A8" s="5" t="s">
        <v>95</v>
      </c>
      <c r="B8">
        <v>52</v>
      </c>
      <c r="C8">
        <v>96</v>
      </c>
    </row>
    <row r="9" spans="1:3" x14ac:dyDescent="0.25">
      <c r="A9" s="5" t="s">
        <v>11</v>
      </c>
      <c r="B9">
        <v>60</v>
      </c>
      <c r="C9">
        <v>124</v>
      </c>
    </row>
    <row r="10" spans="1:3" x14ac:dyDescent="0.25">
      <c r="A10" s="5" t="s">
        <v>29</v>
      </c>
      <c r="B10">
        <v>44</v>
      </c>
      <c r="C10">
        <v>82</v>
      </c>
    </row>
    <row r="11" spans="1:3" x14ac:dyDescent="0.25">
      <c r="A11" s="5"/>
      <c r="B11">
        <v>1</v>
      </c>
      <c r="C11">
        <v>1</v>
      </c>
    </row>
    <row r="12" spans="1:3" x14ac:dyDescent="0.25">
      <c r="A12" s="5" t="s">
        <v>52</v>
      </c>
      <c r="B12">
        <v>41</v>
      </c>
      <c r="C12">
        <v>77</v>
      </c>
    </row>
    <row r="13" spans="1:3" x14ac:dyDescent="0.25">
      <c r="A13" s="5" t="s">
        <v>23</v>
      </c>
      <c r="B13">
        <v>62</v>
      </c>
      <c r="C13">
        <v>120</v>
      </c>
    </row>
    <row r="14" spans="1:3" x14ac:dyDescent="0.25">
      <c r="A14" s="5" t="s">
        <v>130</v>
      </c>
      <c r="B14">
        <v>38</v>
      </c>
      <c r="C14">
        <v>72</v>
      </c>
    </row>
    <row r="15" spans="1:3" x14ac:dyDescent="0.25">
      <c r="A15" s="5" t="s">
        <v>40</v>
      </c>
      <c r="B15">
        <v>44</v>
      </c>
      <c r="C15">
        <v>76</v>
      </c>
    </row>
    <row r="16" spans="1:3" x14ac:dyDescent="0.25">
      <c r="A16" s="5" t="s">
        <v>67</v>
      </c>
      <c r="B16">
        <v>91</v>
      </c>
      <c r="C16">
        <v>176</v>
      </c>
    </row>
    <row r="17" spans="1:3" x14ac:dyDescent="0.25">
      <c r="A17" s="5" t="s">
        <v>145</v>
      </c>
      <c r="B17">
        <v>53</v>
      </c>
      <c r="C17">
        <v>117</v>
      </c>
    </row>
    <row r="18" spans="1:3" x14ac:dyDescent="0.25">
      <c r="A18" s="5" t="s">
        <v>104</v>
      </c>
      <c r="B18">
        <v>35</v>
      </c>
      <c r="C18">
        <v>68</v>
      </c>
    </row>
    <row r="19" spans="1:3" x14ac:dyDescent="0.25">
      <c r="A19" s="5" t="s">
        <v>15</v>
      </c>
      <c r="B19">
        <v>39</v>
      </c>
      <c r="C19">
        <v>76</v>
      </c>
    </row>
    <row r="20" spans="1:3" x14ac:dyDescent="0.25">
      <c r="A20" s="5" t="s">
        <v>47</v>
      </c>
      <c r="B20">
        <v>86</v>
      </c>
      <c r="C20">
        <v>158</v>
      </c>
    </row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hidden="1" x14ac:dyDescent="0.25">
      <c r="A32" s="5"/>
    </row>
    <row r="33" spans="1:1" hidden="1" x14ac:dyDescent="0.25">
      <c r="A33" s="5"/>
    </row>
    <row r="34" spans="1:1" hidden="1" x14ac:dyDescent="0.25">
      <c r="A34" s="5"/>
    </row>
    <row r="35" spans="1:1" hidden="1" x14ac:dyDescent="0.25">
      <c r="A35" s="5"/>
    </row>
    <row r="36" spans="1:1" hidden="1" x14ac:dyDescent="0.25">
      <c r="A36" s="5"/>
    </row>
    <row r="37" spans="1:1" hidden="1" x14ac:dyDescent="0.25">
      <c r="A37" s="5"/>
    </row>
    <row r="38" spans="1:1" hidden="1" x14ac:dyDescent="0.25">
      <c r="A38" s="5"/>
    </row>
    <row r="39" spans="1:1" hidden="1" x14ac:dyDescent="0.25">
      <c r="A39" s="5"/>
    </row>
    <row r="40" spans="1:1" hidden="1" x14ac:dyDescent="0.25">
      <c r="A40" s="5"/>
    </row>
    <row r="41" spans="1:1" hidden="1" x14ac:dyDescent="0.25">
      <c r="A41" s="5"/>
    </row>
    <row r="42" spans="1:1" hidden="1" x14ac:dyDescent="0.25">
      <c r="A42" s="5"/>
    </row>
    <row r="43" spans="1:1" hidden="1" x14ac:dyDescent="0.25">
      <c r="A43" s="5"/>
    </row>
    <row r="44" spans="1:1" hidden="1" x14ac:dyDescent="0.25">
      <c r="A44" s="5"/>
    </row>
    <row r="45" spans="1:1" hidden="1" x14ac:dyDescent="0.25">
      <c r="A45" s="5"/>
    </row>
    <row r="46" spans="1:1" hidden="1" x14ac:dyDescent="0.25">
      <c r="A46" s="5"/>
    </row>
    <row r="47" spans="1:1" hidden="1" x14ac:dyDescent="0.25">
      <c r="A47" s="5"/>
    </row>
    <row r="48" spans="1:1" hidden="1" x14ac:dyDescent="0.25">
      <c r="A48" s="5"/>
    </row>
    <row r="49" spans="1:1" hidden="1" x14ac:dyDescent="0.25">
      <c r="A49" s="5"/>
    </row>
    <row r="50" spans="1:1" hidden="1" x14ac:dyDescent="0.25">
      <c r="A50" s="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32" ma:contentTypeDescription="Create a new document." ma:contentTypeScope="" ma:versionID="5d528a5697d4f8480d2bb290eb6865f7">
  <xsd:schema xmlns:xsd="http://www.w3.org/2001/XMLSchema" xmlns:xs="http://www.w3.org/2001/XMLSchema" xmlns:p="http://schemas.microsoft.com/office/2006/metadata/properties" xmlns:ns2="0feec74c-ecc7-44c3-9c64-3623cf89ed41" targetNamespace="http://schemas.microsoft.com/office/2006/metadata/properties" ma:root="true" ma:fieldsID="4ca9968fb8bc7ed40fa7b786c3cbc994" ns2:_="">
    <xsd:import namespace="0feec74c-ecc7-44c3-9c64-3623cf89ed41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Assessment_x0020_Type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Vendor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essment_x0020_Type" ma:index="10" nillable="true" ma:displayName="Assessment Type" ma:default="Objective" ma:description="Either for objective or performance assessments" ma:internalName="Assessment_x0020_Typ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Objective"/>
                    <xsd:enumeration value="Performance"/>
                  </xsd:restriction>
                </xsd:simpleType>
              </xsd:element>
            </xsd:sequence>
          </xsd:extension>
        </xsd:complexContent>
      </xsd:complexType>
    </xsd:element>
    <xsd:element name="Step_x0020_Completed" ma:index="11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2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3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4" nillable="true" ma:displayName="Launch Date" ma:format="DateOnly" ma:internalName="Launch_x0020_Date" ma:readOnly="false">
      <xsd:simpleType>
        <xsd:restriction base="dms:DateTime"/>
      </xsd:simpleType>
    </xsd:element>
    <xsd:element name="Vendor" ma:index="15" nillable="true" ma:displayName="Vendor" ma:default="N/A" ma:format="Dropdown" ma:internalName="Vendor" ma:readOnly="false">
      <xsd:simpleType>
        <xsd:union memberTypes="dms:Text">
          <xsd:simpleType>
            <xsd:restriction base="dms:Choice">
              <xsd:enumeration value="N/A"/>
              <xsd:enumeration value="In-house"/>
              <xsd:enumeration value="Caveon"/>
              <xsd:enumeration value="CMS"/>
            </xsd:restriction>
          </xsd:simpleType>
        </xsd:union>
      </xsd:simpleType>
    </xsd:element>
    <xsd:element name="Doc_x0020_Type" ma:index="16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7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8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9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20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21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2" nillable="true" ma:displayName="Domain" ma:internalName="d5fh" ma:readOnly="false" ma:percentage="FALSE">
      <xsd:simpleType>
        <xsd:restriction base="dms:Number"/>
      </xsd:simpleType>
    </xsd:element>
    <xsd:element name="qrac" ma:index="23" nillable="true" ma:displayName="Domain" ma:internalName="qrac" ma:readOnly="false">
      <xsd:simpleType>
        <xsd:restriction base="dms:Text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6" nillable="true" ma:displayName="MediaServiceAutoTags" ma:internalName="MediaServiceAutoTags" ma:readOnly="true">
      <xsd:simpleType>
        <xsd:restriction base="dms:Text"/>
      </xsd:simpleType>
    </xsd:element>
    <xsd:element name="MediaServiceOCR" ma:index="2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ndor xmlns="0feec74c-ecc7-44c3-9c64-3623cf89ed41">N/A</Vendor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Assessment_x0020_Type xmlns="0feec74c-ecc7-44c3-9c64-3623cf89ed41">
      <Value>Performance</Value>
    </Assessment_x0020_Type>
    <Editor0 xmlns="0feec74c-ecc7-44c3-9c64-3623cf89ed41">
      <UserInfo>
        <DisplayName/>
        <AccountId xsi:nil="true"/>
        <AccountType/>
      </UserInfo>
    </Editor0>
    <Doc_x0020_Type xmlns="0feec74c-ecc7-44c3-9c64-3623cf89ed41">
      <Value>Attachment</Value>
    </Doc_x0020_Type>
    <Performance_x0020_Steps_x0020_Completed xmlns="0feec74c-ecc7-44c3-9c64-3623cf89ed41">
      <Value>N/A</Value>
    </Performance_x0020_Steps_x0020_Complet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2FB73D-D27D-4474-B0D3-2A7E8B22B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74c-ecc7-44c3-9c64-3623cf89e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80C039-4045-4C0E-8314-E3E330ED4C1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160DB7-4470-41C4-AD4C-9CC9031200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Part_A_Police_DepartMastered</vt:lpstr>
      <vt:lpstr>Part_C_NumberByDate</vt:lpstr>
      <vt:lpstr>Part_C_NumberByEventType</vt:lpstr>
      <vt:lpstr>Part_C_NumberBySector</vt:lpstr>
      <vt:lpstr>RegressionAnalysis</vt:lpstr>
      <vt:lpstr>OriginalRegression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Andrew Perkins</cp:lastModifiedBy>
  <dcterms:created xsi:type="dcterms:W3CDTF">2016-12-01T19:12:31Z</dcterms:created>
  <dcterms:modified xsi:type="dcterms:W3CDTF">2020-09-02T15:28:51Z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